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Tareas" sheetId="1" state="visible" r:id="rId1"/>
    <sheet xmlns:r="http://schemas.openxmlformats.org/officeDocument/2006/relationships" name="Historias" sheetId="2" state="visible" r:id="rId2"/>
    <sheet xmlns:r="http://schemas.openxmlformats.org/officeDocument/2006/relationships" name="Trazabilidad" sheetId="3" state="visible" r:id="rId3"/>
  </sheets>
  <definedNames>
    <definedName name="_xlnm._FilterDatabase" localSheetId="0" hidden="1">'Tareas'!$A$9:$K$117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0">
    <font>
      <name val="Calibri"/>
      <color theme="1"/>
      <sz val="11"/>
      <scheme val="minor"/>
    </font>
    <font>
      <name val="Aptos"/>
      <b val="1"/>
      <color rgb="FFFFFFFF"/>
      <sz val="20"/>
    </font>
    <font/>
    <font>
      <name val="Aptos"/>
      <color rgb="FFFFF8F1"/>
      <sz val="10"/>
    </font>
    <font>
      <name val="Aptos"/>
      <b val="1"/>
      <color rgb="FFFFFFFF"/>
      <sz val="16"/>
    </font>
    <font>
      <name val="Aptos"/>
      <b val="1"/>
      <color rgb="FFDC755D"/>
      <sz val="9"/>
    </font>
    <font>
      <name val="Aptos"/>
      <i val="1"/>
      <color rgb="FF314149"/>
      <sz val="9"/>
    </font>
    <font>
      <name val="Aptos"/>
      <b val="1"/>
      <color rgb="FFFFFFFF"/>
      <sz val="14"/>
    </font>
    <font>
      <name val="Aptos"/>
      <b val="1"/>
      <color rgb="FFFFFFFF"/>
      <sz val="10"/>
    </font>
    <font>
      <name val="Aptos"/>
      <color rgb="FF29363B"/>
      <sz val="10"/>
    </font>
    <font>
      <name val="Aptos"/>
      <b val="1"/>
      <color rgb="FFDC755D"/>
      <sz val="10"/>
    </font>
    <font>
      <name val="Aptos"/>
      <b val="1"/>
      <color rgb="FF314149"/>
      <sz val="18"/>
    </font>
    <font>
      <name val="Aptos"/>
      <b val="1"/>
      <color rgb="FF314149"/>
      <sz val="10"/>
    </font>
    <font>
      <name val="Aptos"/>
      <color rgb="FF6B7280"/>
      <sz val="9"/>
    </font>
    <font>
      <name val="Aptos"/>
      <i val="1"/>
      <color rgb="FF29363B"/>
      <sz val="9"/>
    </font>
    <font>
      <name val="Aptos"/>
      <b val="1"/>
      <color rgb="FF314149"/>
      <sz val="9"/>
    </font>
    <font>
      <name val="Aptos"/>
      <b val="1"/>
      <color rgb="FF263443"/>
      <sz val="10"/>
    </font>
    <font>
      <name val="Arial"/>
      <color rgb="FF29363B"/>
      <sz val="10"/>
    </font>
    <font>
      <name val="Arial"/>
      <b val="1"/>
      <color rgb="FF314149"/>
      <sz val="9"/>
    </font>
    <font>
      <name val="Calibri"/>
      <color theme="1"/>
      <scheme val="minor"/>
    </font>
  </fonts>
  <fills count="15">
    <fill>
      <patternFill/>
    </fill>
    <fill>
      <patternFill patternType="lightGray"/>
    </fill>
    <fill>
      <patternFill patternType="solid">
        <fgColor rgb="FF314149"/>
        <bgColor rgb="FF314149"/>
      </patternFill>
    </fill>
    <fill>
      <patternFill patternType="solid">
        <fgColor rgb="FFFBE9E4"/>
        <bgColor rgb="FFFBE9E4"/>
      </patternFill>
    </fill>
    <fill>
      <patternFill patternType="solid">
        <fgColor rgb="FFFFFFFF"/>
        <bgColor rgb="FFFFFFFF"/>
      </patternFill>
    </fill>
    <fill>
      <patternFill patternType="solid">
        <fgColor rgb="FFFCFAF7"/>
        <bgColor rgb="FFFCFAF7"/>
      </patternFill>
    </fill>
    <fill>
      <patternFill patternType="solid">
        <fgColor rgb="FFF97316"/>
        <bgColor rgb="FFF97316"/>
      </patternFill>
    </fill>
    <fill>
      <patternFill patternType="solid">
        <fgColor rgb="FFE5E7EB"/>
        <bgColor rgb="FFE5E7EB"/>
      </patternFill>
    </fill>
    <fill>
      <patternFill patternType="solid">
        <fgColor rgb="FFFCE7F3"/>
        <bgColor rgb="FFFCE7F3"/>
      </patternFill>
    </fill>
    <fill>
      <patternFill patternType="solid">
        <fgColor rgb="FFEDE9FE"/>
        <bgColor rgb="FFEDE9FE"/>
      </patternFill>
    </fill>
    <fill>
      <patternFill patternType="solid">
        <fgColor rgb="FFDBEAFE"/>
        <bgColor rgb="FFDBEAFE"/>
      </patternFill>
    </fill>
    <fill>
      <patternFill patternType="solid">
        <fgColor rgb="FFD1FAE5"/>
        <bgColor rgb="FFD1FAE5"/>
      </patternFill>
    </fill>
    <fill>
      <patternFill patternType="solid">
        <fgColor rgb="FFF59E0B"/>
        <bgColor rgb="FFF59E0B"/>
      </patternFill>
    </fill>
    <fill>
      <patternFill patternType="solid">
        <fgColor rgb="FF263443"/>
        <bgColor rgb="FF263443"/>
      </patternFill>
    </fill>
    <fill>
      <patternFill patternType="solid">
        <fgColor rgb="FFFEF3C7"/>
        <bgColor rgb="FFFEF3C7"/>
      </patternFill>
    </fill>
  </fills>
  <borders count="6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  <border>
      <left style="thin">
        <color rgb="FFE6C9A8"/>
      </left>
      <right style="thin">
        <color rgb="FFE6C9A8"/>
      </right>
      <top style="thin">
        <color rgb="FFE6C9A8"/>
      </top>
      <bottom style="thin">
        <color rgb="FFE6C9A8"/>
      </bottom>
    </border>
  </borders>
  <cellStyleXfs count="1">
    <xf numFmtId="0" fontId="0" fillId="0" borderId="0"/>
  </cellStyleXfs>
  <cellXfs count="47">
    <xf numFmtId="0" fontId="0" fillId="0" borderId="0" applyAlignment="1" pivotButton="0" quotePrefix="0" xfId="0">
      <alignment vertical="bottom"/>
    </xf>
    <xf numFmtId="0" fontId="1" fillId="2" borderId="1" applyAlignment="1" pivotButton="0" quotePrefix="0" xfId="0">
      <alignment vertical="center" wrapText="1"/>
    </xf>
    <xf numFmtId="0" fontId="2" fillId="0" borderId="2" pivotButton="0" quotePrefix="0" xfId="0"/>
    <xf numFmtId="0" fontId="2" fillId="0" borderId="3" pivotButton="0" quotePrefix="0" xfId="0"/>
    <xf numFmtId="0" fontId="3" fillId="2" borderId="1" applyAlignment="1" pivotButton="0" quotePrefix="0" xfId="0">
      <alignment vertical="center" wrapText="1"/>
    </xf>
    <xf numFmtId="0" fontId="4" fillId="2" borderId="1" applyAlignment="1" pivotButton="0" quotePrefix="0" xfId="0">
      <alignment vertical="center" wrapText="1"/>
    </xf>
    <xf numFmtId="0" fontId="5" fillId="3" borderId="1" applyAlignment="1" pivotButton="0" quotePrefix="0" xfId="0">
      <alignment horizontal="center" vertical="center"/>
    </xf>
    <xf numFmtId="0" fontId="5" fillId="3" borderId="4" applyAlignment="1" pivotButton="0" quotePrefix="0" xfId="0">
      <alignment horizontal="center" vertical="center"/>
    </xf>
    <xf numFmtId="0" fontId="6" fillId="3" borderId="1" applyAlignment="1" pivotButton="0" quotePrefix="0" xfId="0">
      <alignment vertical="center" wrapText="1"/>
    </xf>
    <xf numFmtId="0" fontId="7" fillId="2" borderId="1" applyAlignment="1" pivotButton="0" quotePrefix="0" xfId="0">
      <alignment vertical="center" wrapText="1"/>
    </xf>
    <xf numFmtId="0" fontId="8" fillId="2" borderId="5" applyAlignment="1" pivotButton="0" quotePrefix="0" xfId="0">
      <alignment horizontal="center" vertical="center" wrapText="1"/>
    </xf>
    <xf numFmtId="0" fontId="10" fillId="5" borderId="5" applyAlignment="1" pivotButton="0" quotePrefix="0" xfId="0">
      <alignment horizontal="center" vertical="top" wrapText="1"/>
    </xf>
    <xf numFmtId="0" fontId="9" fillId="4" borderId="5" applyAlignment="1" pivotButton="0" quotePrefix="0" xfId="0">
      <alignment horizontal="center" vertical="top" wrapText="1"/>
    </xf>
    <xf numFmtId="0" fontId="11" fillId="3" borderId="1" applyAlignment="1" pivotButton="0" quotePrefix="0" xfId="0">
      <alignment horizontal="center" vertical="center"/>
    </xf>
    <xf numFmtId="0" fontId="9" fillId="4" borderId="5" applyAlignment="1" pivotButton="0" quotePrefix="0" xfId="0">
      <alignment horizontal="left" vertical="top" wrapText="1"/>
    </xf>
    <xf numFmtId="0" fontId="8" fillId="6" borderId="5" applyAlignment="1" pivotButton="0" quotePrefix="0" xfId="0">
      <alignment horizontal="center" vertical="top" wrapText="1"/>
    </xf>
    <xf numFmtId="0" fontId="9" fillId="5" borderId="5" applyAlignment="1" pivotButton="0" quotePrefix="0" xfId="0">
      <alignment horizontal="left" vertical="top" wrapText="1"/>
    </xf>
    <xf numFmtId="0" fontId="9" fillId="5" borderId="5" applyAlignment="1" pivotButton="0" quotePrefix="0" xfId="0">
      <alignment horizontal="center" vertical="top" wrapText="1"/>
    </xf>
    <xf numFmtId="0" fontId="12" fillId="5" borderId="5" applyAlignment="1" pivotButton="0" quotePrefix="0" xfId="0">
      <alignment horizontal="left" vertical="top" wrapText="1"/>
    </xf>
    <xf numFmtId="0" fontId="11" fillId="3" borderId="4" applyAlignment="1" pivotButton="0" quotePrefix="0" xfId="0">
      <alignment horizontal="center" vertical="center"/>
    </xf>
    <xf numFmtId="0" fontId="13" fillId="5" borderId="5" applyAlignment="1" pivotButton="0" quotePrefix="0" xfId="0">
      <alignment horizontal="left" vertical="top" wrapText="1"/>
    </xf>
    <xf numFmtId="0" fontId="14" fillId="5" borderId="5" applyAlignment="1" pivotButton="0" quotePrefix="0" xfId="0">
      <alignment horizontal="left" vertical="top" wrapText="1"/>
    </xf>
    <xf numFmtId="0" fontId="10" fillId="4" borderId="5" applyAlignment="1" pivotButton="0" quotePrefix="0" xfId="0">
      <alignment horizontal="center" vertical="top" wrapText="1"/>
    </xf>
    <xf numFmtId="0" fontId="12" fillId="4" borderId="5" applyAlignment="1" pivotButton="0" quotePrefix="0" xfId="0">
      <alignment horizontal="left" vertical="top" wrapText="1"/>
    </xf>
    <xf numFmtId="0" fontId="6" fillId="5" borderId="1" applyAlignment="1" pivotButton="0" quotePrefix="0" xfId="0">
      <alignment vertical="center" wrapText="1"/>
    </xf>
    <xf numFmtId="0" fontId="13" fillId="4" borderId="5" applyAlignment="1" pivotButton="0" quotePrefix="0" xfId="0">
      <alignment horizontal="left" vertical="top" wrapText="1"/>
    </xf>
    <xf numFmtId="0" fontId="14" fillId="4" borderId="5" applyAlignment="1" pivotButton="0" quotePrefix="0" xfId="0">
      <alignment horizontal="left" vertical="top" wrapText="1"/>
    </xf>
    <xf numFmtId="0" fontId="15" fillId="7" borderId="5" applyAlignment="1" pivotButton="0" quotePrefix="0" xfId="0">
      <alignment horizontal="center" vertical="top" wrapText="1"/>
    </xf>
    <xf numFmtId="0" fontId="13" fillId="5" borderId="5" applyAlignment="1" pivotButton="0" quotePrefix="0" xfId="0">
      <alignment horizontal="center" vertical="top" wrapText="1"/>
    </xf>
    <xf numFmtId="0" fontId="13" fillId="4" borderId="5" applyAlignment="1" pivotButton="0" quotePrefix="0" xfId="0">
      <alignment horizontal="center" vertical="top" wrapText="1"/>
    </xf>
    <xf numFmtId="0" fontId="15" fillId="8" borderId="5" applyAlignment="1" pivotButton="0" quotePrefix="0" xfId="0">
      <alignment horizontal="center" vertical="top" wrapText="1"/>
    </xf>
    <xf numFmtId="0" fontId="15" fillId="9" borderId="5" applyAlignment="1" pivotButton="0" quotePrefix="0" xfId="0">
      <alignment horizontal="center" vertical="top" wrapText="1"/>
    </xf>
    <xf numFmtId="0" fontId="15" fillId="10" borderId="5" applyAlignment="1" pivotButton="0" quotePrefix="0" xfId="0">
      <alignment horizontal="center" vertical="top" wrapText="1"/>
    </xf>
    <xf numFmtId="0" fontId="15" fillId="11" borderId="5" applyAlignment="1" pivotButton="0" quotePrefix="0" xfId="0">
      <alignment horizontal="center" vertical="top" wrapText="1"/>
    </xf>
    <xf numFmtId="0" fontId="16" fillId="12" borderId="5" applyAlignment="1" pivotButton="0" quotePrefix="0" xfId="0">
      <alignment horizontal="center" vertical="top" wrapText="1"/>
    </xf>
    <xf numFmtId="0" fontId="17" fillId="4" borderId="5" applyAlignment="1" pivotButton="0" quotePrefix="0" xfId="0">
      <alignment horizontal="center" vertical="top" wrapText="1"/>
    </xf>
    <xf numFmtId="0" fontId="8" fillId="13" borderId="5" applyAlignment="1" pivotButton="0" quotePrefix="0" xfId="0">
      <alignment horizontal="center" vertical="top" wrapText="1"/>
    </xf>
    <xf numFmtId="0" fontId="15" fillId="14" borderId="5" applyAlignment="1" pivotButton="0" quotePrefix="0" xfId="0">
      <alignment horizontal="center" vertical="top" wrapText="1"/>
    </xf>
    <xf numFmtId="0" fontId="18" fillId="9" borderId="5" applyAlignment="1" pivotButton="0" quotePrefix="0" xfId="0">
      <alignment horizontal="center" vertical="top" wrapText="1"/>
    </xf>
    <xf numFmtId="0" fontId="19" fillId="0" borderId="0" pivotButton="0" quotePrefix="0" xfId="0"/>
    <xf numFmtId="0" fontId="0" fillId="0" borderId="0" pivotButton="0" quotePrefix="0" xfId="0"/>
    <xf numFmtId="0" fontId="1" fillId="2" borderId="4" applyAlignment="1" pivotButton="0" quotePrefix="0" xfId="0">
      <alignment vertical="center" wrapText="1"/>
    </xf>
    <xf numFmtId="0" fontId="3" fillId="2" borderId="4" applyAlignment="1" pivotButton="0" quotePrefix="0" xfId="0">
      <alignment vertical="center" wrapText="1"/>
    </xf>
    <xf numFmtId="0" fontId="6" fillId="3" borderId="4" applyAlignment="1" pivotButton="0" quotePrefix="0" xfId="0">
      <alignment vertical="center" wrapText="1"/>
    </xf>
    <xf numFmtId="0" fontId="6" fillId="5" borderId="4" applyAlignment="1" pivotButton="0" quotePrefix="0" xfId="0">
      <alignment vertical="center" wrapText="1"/>
    </xf>
    <xf numFmtId="0" fontId="4" fillId="2" borderId="4" applyAlignment="1" pivotButton="0" quotePrefix="0" xfId="0">
      <alignment vertical="center" wrapText="1"/>
    </xf>
    <xf numFmtId="0" fontId="7" fillId="2" borderId="4" applyAlignment="1" pivotButton="0" quotePrefix="0" xfId="0">
      <alignment vertical="center" wrapText="1"/>
    </xf>
  </cellXfs>
  <cellStyles count="1">
    <cellStyle name="Normal" xfId="0" builtinId="0"/>
  </cellStyles>
  <dxfs count="3">
    <dxf>
      <font>
        <b val="1"/>
        <color rgb="FF065F46"/>
      </font>
      <fill>
        <patternFill patternType="solid">
          <fgColor rgb="FFD1FAE5"/>
          <bgColor rgb="FFD1FAE5"/>
        </patternFill>
      </fill>
      <border/>
    </dxf>
    <dxf>
      <font>
        <b val="1"/>
        <color rgb="FF92400E"/>
      </font>
      <fill>
        <patternFill patternType="solid">
          <fgColor rgb="FFFEF3C7"/>
          <bgColor rgb="FFFEF3C7"/>
        </patternFill>
      </fill>
      <border/>
    </dxf>
    <dxf>
      <font>
        <b val="1"/>
        <color rgb="FF1E40AF"/>
      </font>
      <fill>
        <patternFill patternType="solid">
          <fgColor rgb="FFDBEAFE"/>
          <bgColor rgb="FFDBEAFE"/>
        </patternFill>
      </fill>
      <border/>
    </dxf>
  </dxf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K500"/>
  <sheetViews>
    <sheetView showGridLines="0" workbookViewId="0">
      <pane xSplit="5" ySplit="9" topLeftCell="F10" activePane="bottomRight" state="frozen"/>
      <selection pane="topRight" activeCell="F1" sqref="F1"/>
      <selection pane="bottomLeft" activeCell="A10" sqref="A10"/>
      <selection pane="bottomRight" activeCell="F10" sqref="F10"/>
    </sheetView>
  </sheetViews>
  <sheetFormatPr baseColWidth="8" defaultColWidth="14.43" defaultRowHeight="15" customHeight="1"/>
  <cols>
    <col width="9" customWidth="1" style="40" min="1" max="2"/>
    <col width="30" customWidth="1" style="40" min="3" max="3"/>
    <col width="12.71" customWidth="1" style="40" min="4" max="4"/>
    <col width="32" customWidth="1" style="40" min="5" max="5"/>
    <col width="56" customWidth="1" style="40" min="6" max="6"/>
    <col width="46" customWidth="1" style="40" min="7" max="7"/>
    <col width="14" customWidth="1" style="40" min="8" max="8"/>
    <col width="8" customWidth="1" style="40" min="9" max="9"/>
    <col width="12" customWidth="1" style="40" min="10" max="10"/>
    <col width="16" customWidth="1" style="40" min="11" max="11"/>
    <col width="8.710000000000001" customWidth="1" style="40" min="12" max="26"/>
  </cols>
  <sheetData>
    <row r="1" ht="33.75" customHeight="1" s="40">
      <c r="A1" s="41" t="inlineStr">
        <is>
          <t>ENSAMBLA  /  PRODUCT BACKLOG  ·  TAREAS</t>
        </is>
      </c>
    </row>
    <row r="2" ht="19.5" customHeight="1" s="40">
      <c r="A2" s="42" t="inlineStr">
        <is>
          <t>Tu sistema, un bloque a la vez.   |   Tareas listas para el tablero, agrupadas por MVP e historia. Antes de agarrar una, fijate que sus dependencias estén hechas.</t>
        </is>
      </c>
    </row>
    <row r="4">
      <c r="A4" s="7" t="inlineStr">
        <is>
          <t>TAREAS</t>
        </is>
      </c>
      <c r="C4" s="7" t="inlineStr">
        <is>
          <t>MVP 2 · CORE</t>
        </is>
      </c>
      <c r="D4" s="7" t="inlineStr">
        <is>
          <t>MVP 3 · MEJORAS</t>
        </is>
      </c>
      <c r="F4" s="7" t="inlineStr">
        <is>
          <t>MVP 4 · APP COMPLETA</t>
        </is>
      </c>
      <c r="G4" s="7" t="inlineStr">
        <is>
          <t>MVP 2 TERMINADAS</t>
        </is>
      </c>
      <c r="H4" s="7" t="inlineStr">
        <is>
          <t>TERMINADAS</t>
        </is>
      </c>
    </row>
    <row r="5" ht="27.75" customHeight="1" s="40">
      <c r="A5" s="19">
        <f>COUNTA(A10:A400)</f>
        <v/>
      </c>
      <c r="C5" s="19">
        <f>COUNTIF(B10:B400,"MVP 2")</f>
        <v/>
      </c>
      <c r="D5" s="19">
        <f>COUNTIF(B10:B400,"MVP 3")</f>
        <v/>
      </c>
      <c r="F5" s="19">
        <f>COUNTIF(B10:B400,"MVP 4")</f>
        <v/>
      </c>
      <c r="G5" s="19">
        <f>COUNTIFS(B10:B400,"MVP 2",J10:J400,"Hecho")</f>
        <v/>
      </c>
      <c r="H5" s="19">
        <f>COUNTIF(J10:J400,"Hecho")</f>
        <v/>
      </c>
    </row>
    <row r="7" ht="19.5" customHeight="1" s="40">
      <c r="A7" s="43" t="inlineStr">
        <is>
          <t>MVP 1 = pantallas (entregado).  MVP 2 = core: foto del cuaderno → lectura con IA → revisión → registros ordenados, con interfaz accesible para personas mayores.  MVP 3 = mejoras de uso, ABM de soporte, modo construir/usar e indicadores.  MVP 4 = equipos, planes, importación de planillas, WhatsApp/audio, integraciones y analítica (app completa).</t>
        </is>
      </c>
    </row>
    <row r="8" ht="30" customHeight="1" s="40">
      <c r="A8" s="44" t="inlineStr">
        <is>
          <t>Área: FE frontend · BE backend/API · BD base de datos · Infra · QA · Fullstack (tarea chica que toca front y back).   Talle: S ≈ hasta 1 día · M ≈ 2-3 días · L ≈ 4+ días (conviene partirla).   "Depende de" = tareas que tienen que estar hechas antes.</t>
        </is>
      </c>
    </row>
    <row r="9" ht="30" customHeight="1" s="40">
      <c r="A9" s="10" t="inlineStr">
        <is>
          <t>ID</t>
        </is>
      </c>
      <c r="B9" s="10" t="inlineStr">
        <is>
          <t>MVP</t>
        </is>
      </c>
      <c r="C9" s="10" t="inlineStr">
        <is>
          <t>Historia</t>
        </is>
      </c>
      <c r="D9" s="10" t="inlineStr">
        <is>
          <t>Área</t>
        </is>
      </c>
      <c r="E9" s="10" t="inlineStr">
        <is>
          <t>Tarea</t>
        </is>
      </c>
      <c r="F9" s="10" t="inlineStr">
        <is>
          <t>Qué hay que hacer</t>
        </is>
      </c>
      <c r="G9" s="10" t="inlineStr">
        <is>
          <t>Criterio de hecho</t>
        </is>
      </c>
      <c r="H9" s="10" t="inlineStr">
        <is>
          <t>Depende de</t>
        </is>
      </c>
      <c r="I9" s="10" t="inlineStr">
        <is>
          <t>Talle</t>
        </is>
      </c>
      <c r="J9" s="10" t="inlineStr">
        <is>
          <t>Estado</t>
        </is>
      </c>
      <c r="K9" s="10" t="inlineStr">
        <is>
          <t>Responsable</t>
        </is>
      </c>
    </row>
    <row r="10" ht="33.75" customHeight="1" s="40">
      <c r="A10" s="11" t="inlineStr">
        <is>
          <t>T-001</t>
        </is>
      </c>
      <c r="B10" s="15" t="inlineStr">
        <is>
          <t>MVP 2</t>
        </is>
      </c>
      <c r="C10" s="20" t="inlineStr">
        <is>
          <t>H-00 · Base técnica</t>
        </is>
      </c>
      <c r="D10" s="27" t="inlineStr">
        <is>
          <t>Infra</t>
        </is>
      </c>
      <c r="E10" s="18" t="inlineStr">
        <is>
          <t>Estructura del repositorio</t>
        </is>
      </c>
      <c r="F10" s="16" t="inlineStr">
        <is>
          <t>Repo con /web (React + TS) y /api, linter, formateador, .env.example, README con cómo levantar todo.</t>
        </is>
      </c>
      <c r="G10" s="16" t="inlineStr">
        <is>
          <t>Cualquiera clona, copia .env.example y levanta front y API con un comando.</t>
        </is>
      </c>
      <c r="H10" s="28" t="inlineStr">
        <is>
          <t>—</t>
        </is>
      </c>
      <c r="I10" s="17" t="inlineStr">
        <is>
          <t>S</t>
        </is>
      </c>
      <c r="J10" s="17" t="inlineStr">
        <is>
          <t>Por hacer</t>
        </is>
      </c>
      <c r="K10" s="16" t="n"/>
    </row>
    <row r="11" ht="33.75" customHeight="1" s="40">
      <c r="A11" s="22" t="inlineStr">
        <is>
          <t>T-002</t>
        </is>
      </c>
      <c r="B11" s="15" t="inlineStr">
        <is>
          <t>MVP 2</t>
        </is>
      </c>
      <c r="C11" s="25" t="inlineStr">
        <is>
          <t>H-00 · Base técnica</t>
        </is>
      </c>
      <c r="D11" s="27" t="inlineStr">
        <is>
          <t>Infra</t>
        </is>
      </c>
      <c r="E11" s="23" t="inlineStr">
        <is>
          <t>CI en pull requests</t>
        </is>
      </c>
      <c r="F11" s="14" t="inlineStr">
        <is>
          <t>Pipeline que corre lint, typecheck y tests en cada PR; bloquea el merge si falla.</t>
        </is>
      </c>
      <c r="G11" s="14" t="inlineStr">
        <is>
          <t>Un PR con error de lint no se puede mergear.</t>
        </is>
      </c>
      <c r="H11" s="29" t="inlineStr">
        <is>
          <t>T-001</t>
        </is>
      </c>
      <c r="I11" s="12" t="inlineStr">
        <is>
          <t>S</t>
        </is>
      </c>
      <c r="J11" s="12" t="inlineStr">
        <is>
          <t>Por hacer</t>
        </is>
      </c>
      <c r="K11" s="14" t="n"/>
    </row>
    <row r="12" ht="33.75" customHeight="1" s="40">
      <c r="A12" s="11" t="inlineStr">
        <is>
          <t>T-003</t>
        </is>
      </c>
      <c r="B12" s="15" t="inlineStr">
        <is>
          <t>MVP 2</t>
        </is>
      </c>
      <c r="C12" s="20" t="inlineStr">
        <is>
          <t>H-00 · Base técnica</t>
        </is>
      </c>
      <c r="D12" s="27" t="inlineStr">
        <is>
          <t>Infra</t>
        </is>
      </c>
      <c r="E12" s="18" t="inlineStr">
        <is>
          <t>Docker y docker-compose local</t>
        </is>
      </c>
      <c r="F12" s="16" t="inlineStr">
        <is>
          <t>Dockerfile de web y api + docker-compose con base de datos.</t>
        </is>
      </c>
      <c r="G12" s="16" t="inlineStr">
        <is>
          <t>docker compose up levanta web, api y BD funcionando.</t>
        </is>
      </c>
      <c r="H12" s="28" t="inlineStr">
        <is>
          <t>T-001</t>
        </is>
      </c>
      <c r="I12" s="17" t="inlineStr">
        <is>
          <t>S</t>
        </is>
      </c>
      <c r="J12" s="17" t="inlineStr">
        <is>
          <t>Por hacer</t>
        </is>
      </c>
      <c r="K12" s="16" t="n"/>
    </row>
    <row r="13" ht="60" customHeight="1" s="40">
      <c r="A13" s="22" t="inlineStr">
        <is>
          <t>T-004</t>
        </is>
      </c>
      <c r="B13" s="15" t="inlineStr">
        <is>
          <t>MVP 2</t>
        </is>
      </c>
      <c r="C13" s="25" t="inlineStr">
        <is>
          <t>H-00 · Base técnica</t>
        </is>
      </c>
      <c r="D13" s="30" t="inlineStr">
        <is>
          <t>BD</t>
        </is>
      </c>
      <c r="E13" s="23" t="inlineStr">
        <is>
          <t>Modelo de datos del core</t>
        </is>
      </c>
      <c r="F13" s="14" t="inlineStr">
        <is>
          <t>Tablas users, businesses, projects, blocks, fields (type, required, default, options JSON, position), records (values JSON, block_id, business_id, source_upload_id) y uploads (lote, fotos, estado, resultado de IA JSON) + migraciones.</t>
        </is>
      </c>
      <c r="G13" s="14" t="inlineStr">
        <is>
          <t>Migraciones corren de cero; diagrama del modelo en el repo.</t>
        </is>
      </c>
      <c r="H13" s="29" t="inlineStr">
        <is>
          <t>T-001</t>
        </is>
      </c>
      <c r="I13" s="12" t="inlineStr">
        <is>
          <t>M</t>
        </is>
      </c>
      <c r="J13" s="12" t="inlineStr">
        <is>
          <t>Por hacer</t>
        </is>
      </c>
      <c r="K13" s="14" t="n"/>
    </row>
    <row r="14" ht="33.75" customHeight="1" s="40">
      <c r="A14" s="11" t="inlineStr">
        <is>
          <t>T-005</t>
        </is>
      </c>
      <c r="B14" s="15" t="inlineStr">
        <is>
          <t>MVP 2</t>
        </is>
      </c>
      <c r="C14" s="20" t="inlineStr">
        <is>
          <t>H-01 · Acceso y sesión</t>
        </is>
      </c>
      <c r="D14" s="31" t="inlineStr">
        <is>
          <t>BE</t>
        </is>
      </c>
      <c r="E14" s="18" t="inlineStr">
        <is>
          <t>Endpoint de registro</t>
        </is>
      </c>
      <c r="F14" s="16" t="inlineStr">
        <is>
          <t>POST /auth/register: valida datos, hashea contraseña, rechaza email repetido, crea usuario + negocio en una transacción.</t>
        </is>
      </c>
      <c r="G14" s="16" t="inlineStr">
        <is>
          <t>Registro válido → 201; email repetido → 409 con mensaje claro; contraseña nunca en texto plano.</t>
        </is>
      </c>
      <c r="H14" s="28" t="inlineStr">
        <is>
          <t>T-004</t>
        </is>
      </c>
      <c r="I14" s="17" t="inlineStr">
        <is>
          <t>M</t>
        </is>
      </c>
      <c r="J14" s="17" t="inlineStr">
        <is>
          <t>Por hacer</t>
        </is>
      </c>
      <c r="K14" s="16" t="n"/>
    </row>
    <row r="15" ht="33.75" customHeight="1" s="40">
      <c r="A15" s="22" t="inlineStr">
        <is>
          <t>T-006</t>
        </is>
      </c>
      <c r="B15" s="15" t="inlineStr">
        <is>
          <t>MVP 2</t>
        </is>
      </c>
      <c r="C15" s="25" t="inlineStr">
        <is>
          <t>H-01 · Acceso y sesión</t>
        </is>
      </c>
      <c r="D15" s="31" t="inlineStr">
        <is>
          <t>BE</t>
        </is>
      </c>
      <c r="E15" s="23" t="inlineStr">
        <is>
          <t>Login, logout y sesión actual</t>
        </is>
      </c>
      <c r="F15" s="14" t="inlineStr">
        <is>
          <t>POST /auth/login, POST /auth/logout y GET /auth/me. Sesión por token/cookie httpOnly con expiración.</t>
        </is>
      </c>
      <c r="G15" s="14" t="inlineStr">
        <is>
          <t>Credenciales malas → 401; después del logout el token ya no sirve.</t>
        </is>
      </c>
      <c r="H15" s="29" t="inlineStr">
        <is>
          <t>T-005</t>
        </is>
      </c>
      <c r="I15" s="12" t="inlineStr">
        <is>
          <t>M</t>
        </is>
      </c>
      <c r="J15" s="12" t="inlineStr">
        <is>
          <t>Por hacer</t>
        </is>
      </c>
      <c r="K15" s="14" t="n"/>
    </row>
    <row r="16" ht="33.75" customHeight="1" s="40">
      <c r="A16" s="11" t="inlineStr">
        <is>
          <t>T-007</t>
        </is>
      </c>
      <c r="B16" s="15" t="inlineStr">
        <is>
          <t>MVP 2</t>
        </is>
      </c>
      <c r="C16" s="20" t="inlineStr">
        <is>
          <t>H-01 · Acceso y sesión</t>
        </is>
      </c>
      <c r="D16" s="31" t="inlineStr">
        <is>
          <t>BE</t>
        </is>
      </c>
      <c r="E16" s="18" t="inlineStr">
        <is>
          <t>Middleware de autenticación</t>
        </is>
      </c>
      <c r="F16" s="16" t="inlineStr">
        <is>
          <t>Guard global que exige sesión válida en toda ruta salvo /auth/*.</t>
        </is>
      </c>
      <c r="G16" s="16" t="inlineStr">
        <is>
          <t>Cualquier endpoint privado sin sesión devuelve 401 (test automatizado).</t>
        </is>
      </c>
      <c r="H16" s="28" t="inlineStr">
        <is>
          <t>T-006</t>
        </is>
      </c>
      <c r="I16" s="17" t="inlineStr">
        <is>
          <t>S</t>
        </is>
      </c>
      <c r="J16" s="17" t="inlineStr">
        <is>
          <t>Por hacer</t>
        </is>
      </c>
      <c r="K16" s="16" t="n"/>
    </row>
    <row r="17" ht="33.75" customHeight="1" s="40">
      <c r="A17" s="22" t="inlineStr">
        <is>
          <t>T-008</t>
        </is>
      </c>
      <c r="B17" s="15" t="inlineStr">
        <is>
          <t>MVP 2</t>
        </is>
      </c>
      <c r="C17" s="25" t="inlineStr">
        <is>
          <t>H-01 · Acceso y sesión</t>
        </is>
      </c>
      <c r="D17" s="32" t="inlineStr">
        <is>
          <t>FE</t>
        </is>
      </c>
      <c r="E17" s="23" t="inlineStr">
        <is>
          <t>Pantallas de login y registro</t>
        </is>
      </c>
      <c r="F17" s="14" t="inlineStr">
        <is>
          <t>Formularios conectados a la API con validación, errores del servidor y campo 'nombre del negocio' en el registro.</t>
        </is>
      </c>
      <c r="G17" s="14" t="inlineStr">
        <is>
          <t>Se registra, entra y ve el aviso si la contraseña es incorrecta.</t>
        </is>
      </c>
      <c r="H17" s="29" t="inlineStr">
        <is>
          <t>T-006</t>
        </is>
      </c>
      <c r="I17" s="12" t="inlineStr">
        <is>
          <t>M</t>
        </is>
      </c>
      <c r="J17" s="12" t="inlineStr">
        <is>
          <t>Por hacer</t>
        </is>
      </c>
      <c r="K17" s="14" t="n"/>
    </row>
    <row r="18" ht="33.75" customHeight="1" s="40">
      <c r="A18" s="11" t="inlineStr">
        <is>
          <t>T-009</t>
        </is>
      </c>
      <c r="B18" s="15" t="inlineStr">
        <is>
          <t>MVP 2</t>
        </is>
      </c>
      <c r="C18" s="20" t="inlineStr">
        <is>
          <t>H-01 · Acceso y sesión</t>
        </is>
      </c>
      <c r="D18" s="32" t="inlineStr">
        <is>
          <t>FE</t>
        </is>
      </c>
      <c r="E18" s="18" t="inlineStr">
        <is>
          <t>Sesión en el cliente y rutas protegidas</t>
        </is>
      </c>
      <c r="F18" s="16" t="inlineStr">
        <is>
          <t>Contexto de usuario, redirección a login si no hay sesión, botón de cerrar sesión.</t>
        </is>
      </c>
      <c r="G18" s="16" t="inlineStr">
        <is>
          <t>Sin sesión, cualquier URL privada redirige a /login; logout vuelve a /login.</t>
        </is>
      </c>
      <c r="H18" s="28" t="inlineStr">
        <is>
          <t>T-008</t>
        </is>
      </c>
      <c r="I18" s="17" t="inlineStr">
        <is>
          <t>S</t>
        </is>
      </c>
      <c r="J18" s="17" t="inlineStr">
        <is>
          <t>Por hacer</t>
        </is>
      </c>
      <c r="K18" s="16" t="n"/>
    </row>
    <row r="19" ht="33.75" customHeight="1" s="40">
      <c r="A19" s="22" t="inlineStr">
        <is>
          <t>T-010</t>
        </is>
      </c>
      <c r="B19" s="15" t="inlineStr">
        <is>
          <t>MVP 2</t>
        </is>
      </c>
      <c r="C19" s="25" t="inlineStr">
        <is>
          <t>H-02 · Espacio de negocio y aislamiento de datos</t>
        </is>
      </c>
      <c r="D19" s="31" t="inlineStr">
        <is>
          <t>BE</t>
        </is>
      </c>
      <c r="E19" s="23" t="inlineStr">
        <is>
          <t>Filtro por negocio en todas las consultas</t>
        </is>
      </c>
      <c r="F19" s="14" t="inlineStr">
        <is>
          <t>Middleware que toma el business_id de la sesión y capa de datos que lo aplica siempre (nunca desde el body/URL).</t>
        </is>
      </c>
      <c r="G19" s="14" t="inlineStr">
        <is>
          <t>No existe query a projects/blocks/fields/records sin business_id.</t>
        </is>
      </c>
      <c r="H19" s="29" t="inlineStr">
        <is>
          <t>T-007</t>
        </is>
      </c>
      <c r="I19" s="12" t="inlineStr">
        <is>
          <t>M</t>
        </is>
      </c>
      <c r="J19" s="12" t="inlineStr">
        <is>
          <t>Por hacer</t>
        </is>
      </c>
      <c r="K19" s="14" t="n"/>
    </row>
    <row r="20" ht="33.75" customHeight="1" s="40">
      <c r="A20" s="11" t="inlineStr">
        <is>
          <t>T-011</t>
        </is>
      </c>
      <c r="B20" s="15" t="inlineStr">
        <is>
          <t>MVP 2</t>
        </is>
      </c>
      <c r="C20" s="20" t="inlineStr">
        <is>
          <t>H-02 · Espacio de negocio y aislamiento de datos</t>
        </is>
      </c>
      <c r="D20" s="33" t="inlineStr">
        <is>
          <t>QA</t>
        </is>
      </c>
      <c r="E20" s="18" t="inlineStr">
        <is>
          <t>Tests de aislamiento entre negocios</t>
        </is>
      </c>
      <c r="F20" s="16" t="inlineStr">
        <is>
          <t>Tests de API: usuario de negocio A intenta leer/editar/borrar recursos de B por id.</t>
        </is>
      </c>
      <c r="G20" s="16" t="inlineStr">
        <is>
          <t>Todos los intentos devuelven 404/403; tests en CI.</t>
        </is>
      </c>
      <c r="H20" s="28" t="inlineStr">
        <is>
          <t>T-010, T-027</t>
        </is>
      </c>
      <c r="I20" s="17" t="inlineStr">
        <is>
          <t>S</t>
        </is>
      </c>
      <c r="J20" s="17" t="inlineStr">
        <is>
          <t>Por hacer</t>
        </is>
      </c>
      <c r="K20" s="16" t="n"/>
    </row>
    <row r="21" ht="33.75" customHeight="1" s="40">
      <c r="A21" s="22" t="inlineStr">
        <is>
          <t>T-077</t>
        </is>
      </c>
      <c r="B21" s="15" t="inlineStr">
        <is>
          <t>MVP 2</t>
        </is>
      </c>
      <c r="C21" s="25" t="inlineStr">
        <is>
          <t>H-28 · Subir fotos del cuaderno</t>
        </is>
      </c>
      <c r="D21" s="27" t="inlineStr">
        <is>
          <t>Infra</t>
        </is>
      </c>
      <c r="E21" s="23" t="inlineStr">
        <is>
          <t>Almacenamiento de archivos</t>
        </is>
      </c>
      <c r="F21" s="14" t="inlineStr">
        <is>
          <t>Bucket S3 compatible (MinIO en docker-compose local) con URLs firmadas para las fotos del cuaderno y futuros adjuntos.</t>
        </is>
      </c>
      <c r="G21" s="14" t="inlineStr">
        <is>
          <t>Los archivos no son accesibles sin URL firmada.</t>
        </is>
      </c>
      <c r="H21" s="29" t="inlineStr">
        <is>
          <t>T-003</t>
        </is>
      </c>
      <c r="I21" s="12" t="inlineStr">
        <is>
          <t>S</t>
        </is>
      </c>
      <c r="J21" s="12" t="inlineStr">
        <is>
          <t>Por hacer</t>
        </is>
      </c>
      <c r="K21" s="14" t="n"/>
    </row>
    <row r="22" ht="46.5" customHeight="1" s="40">
      <c r="A22" s="11" t="inlineStr">
        <is>
          <t>T-090</t>
        </is>
      </c>
      <c r="B22" s="15" t="inlineStr">
        <is>
          <t>MVP 2</t>
        </is>
      </c>
      <c r="C22" s="20" t="inlineStr">
        <is>
          <t>H-28 · Subir fotos del cuaderno</t>
        </is>
      </c>
      <c r="D22" s="31" t="inlineStr">
        <is>
          <t>BE</t>
        </is>
      </c>
      <c r="E22" s="18" t="inlineStr">
        <is>
          <t>Subida de fotos</t>
        </is>
      </c>
      <c r="F22" s="16" t="inlineStr">
        <is>
          <t>POST /uploads: recibe una o varias imágenes, valida tipo y tamaño, las guarda en el bucket del negocio y crea el lote con estado 'pendiente'.</t>
        </is>
      </c>
      <c r="G22" s="16" t="inlineStr">
        <is>
          <t>Archivo inválido → 400 con mensaje claro; válido → 201 con id de lote; la foto no es accesible desde otro negocio.</t>
        </is>
      </c>
      <c r="H22" s="28" t="inlineStr">
        <is>
          <t>T-077, T-010</t>
        </is>
      </c>
      <c r="I22" s="17" t="inlineStr">
        <is>
          <t>M</t>
        </is>
      </c>
      <c r="J22" s="17" t="inlineStr">
        <is>
          <t>Por hacer</t>
        </is>
      </c>
      <c r="K22" s="16" t="n"/>
    </row>
    <row r="23" ht="46.5" customHeight="1" s="40">
      <c r="A23" s="22" t="inlineStr">
        <is>
          <t>T-091</t>
        </is>
      </c>
      <c r="B23" s="15" t="inlineStr">
        <is>
          <t>MVP 2</t>
        </is>
      </c>
      <c r="C23" s="25" t="inlineStr">
        <is>
          <t>H-28 · Subir fotos del cuaderno</t>
        </is>
      </c>
      <c r="D23" s="32" t="inlineStr">
        <is>
          <t>FE</t>
        </is>
      </c>
      <c r="E23" s="23" t="inlineStr">
        <is>
          <t>Pantalla «Subir foto de mi cuaderno»</t>
        </is>
      </c>
      <c r="F23" s="14" t="inlineStr">
        <is>
          <t>Botón grande para cámara o galería, miniaturas de las páginas, rotar y quitar, botón 'Leer mi cuaderno' y consejos breves para sacar una buena foto.</t>
        </is>
      </c>
      <c r="G23" s="14" t="inlineStr">
        <is>
          <t>En un celular de 360px se suben 3 páginas sin ayuda y sin pasos confusos.</t>
        </is>
      </c>
      <c r="H23" s="29" t="inlineStr">
        <is>
          <t>T-033, T-090</t>
        </is>
      </c>
      <c r="I23" s="12" t="inlineStr">
        <is>
          <t>M</t>
        </is>
      </c>
      <c r="J23" s="12" t="inlineStr">
        <is>
          <t>Por hacer</t>
        </is>
      </c>
      <c r="K23" s="14" t="n"/>
    </row>
    <row r="24" ht="33.75" customHeight="1" s="40">
      <c r="A24" s="11" t="inlineStr">
        <is>
          <t>T-092</t>
        </is>
      </c>
      <c r="B24" s="15" t="inlineStr">
        <is>
          <t>MVP 2</t>
        </is>
      </c>
      <c r="C24" s="20" t="inlineStr">
        <is>
          <t>H-28 · Subir fotos del cuaderno</t>
        </is>
      </c>
      <c r="D24" s="32" t="inlineStr">
        <is>
          <t>FE</t>
        </is>
      </c>
      <c r="E24" s="18" t="inlineStr">
        <is>
          <t>Compresión y orientación en el cliente</t>
        </is>
      </c>
      <c r="F24" s="16" t="inlineStr">
        <is>
          <t>Reducir el tamaño de la imagen (ej. lado mayor 2000px) y corregir la orientación EXIF antes de subir.</t>
        </is>
      </c>
      <c r="G24" s="16" t="inlineStr">
        <is>
          <t>Una foto de 8 MB sube como menos de 1,5 MB y se ve derecha.</t>
        </is>
      </c>
      <c r="H24" s="28" t="inlineStr">
        <is>
          <t>T-091</t>
        </is>
      </c>
      <c r="I24" s="17" t="inlineStr">
        <is>
          <t>S</t>
        </is>
      </c>
      <c r="J24" s="17" t="inlineStr">
        <is>
          <t>Por hacer</t>
        </is>
      </c>
      <c r="K24" s="16" t="n"/>
    </row>
    <row r="25" ht="46.5" customHeight="1" s="40">
      <c r="A25" s="22" t="inlineStr">
        <is>
          <t>T-093</t>
        </is>
      </c>
      <c r="B25" s="15" t="inlineStr">
        <is>
          <t>MVP 2</t>
        </is>
      </c>
      <c r="C25" s="25" t="inlineStr">
        <is>
          <t>H-29 · Lectura del cuaderno con IA</t>
        </is>
      </c>
      <c r="D25" s="33" t="inlineStr">
        <is>
          <t>QA</t>
        </is>
      </c>
      <c r="E25" s="23" t="inlineStr">
        <is>
          <t>Set de fotos reales de prueba</t>
        </is>
      </c>
      <c r="F25" s="14" t="inlineStr">
        <is>
          <t>Juntar 30+ fotos de cuadernos reales (ventas, gastos, fiados, pedidos; buena y mala calidad), anonimizadas y con consentimiento, con el resultado esperado de cada una en JSON.</t>
        </is>
      </c>
      <c r="G25" s="14" t="inlineStr">
        <is>
          <t>Set versionado en un bucket privado con su resultado esperado; sirve para el spike y las pruebas.</t>
        </is>
      </c>
      <c r="H25" s="29" t="inlineStr">
        <is>
          <t>—</t>
        </is>
      </c>
      <c r="I25" s="12" t="inlineStr">
        <is>
          <t>M</t>
        </is>
      </c>
      <c r="J25" s="12" t="inlineStr">
        <is>
          <t>Por hacer</t>
        </is>
      </c>
      <c r="K25" s="14" t="n"/>
    </row>
    <row r="26" ht="46.5" customHeight="1" s="40">
      <c r="A26" s="11" t="inlineStr">
        <is>
          <t>T-094</t>
        </is>
      </c>
      <c r="B26" s="15" t="inlineStr">
        <is>
          <t>MVP 2</t>
        </is>
      </c>
      <c r="C26" s="20" t="inlineStr">
        <is>
          <t>H-29 · Lectura del cuaderno con IA</t>
        </is>
      </c>
      <c r="D26" s="31" t="inlineStr">
        <is>
          <t>BE</t>
        </is>
      </c>
      <c r="E26" s="18" t="inlineStr">
        <is>
          <t>Spike: elección del modelo de IA</t>
        </is>
      </c>
      <c r="F26" s="16" t="inlineStr">
        <is>
          <t>Probar 2-3 modelos multimodales (y OCR como línea base) contra el set de prueba; comparar precisión, costo por página y tiempo de respuesta.</t>
        </is>
      </c>
      <c r="G26" s="16" t="inlineStr">
        <is>
          <t>Documento con la comparación, la meta de precisión y la decisión tomada por el equipo.</t>
        </is>
      </c>
      <c r="H26" s="28" t="inlineStr">
        <is>
          <t>T-093</t>
        </is>
      </c>
      <c r="I26" s="17" t="inlineStr">
        <is>
          <t>M</t>
        </is>
      </c>
      <c r="J26" s="17" t="inlineStr">
        <is>
          <t>Por hacer</t>
        </is>
      </c>
      <c r="K26" s="16" t="n"/>
    </row>
    <row r="27" ht="46.5" customHeight="1" s="40">
      <c r="A27" s="22" t="inlineStr">
        <is>
          <t>T-095</t>
        </is>
      </c>
      <c r="B27" s="15" t="inlineStr">
        <is>
          <t>MVP 2</t>
        </is>
      </c>
      <c r="C27" s="25" t="inlineStr">
        <is>
          <t>H-29 · Lectura del cuaderno con IA</t>
        </is>
      </c>
      <c r="D27" s="31" t="inlineStr">
        <is>
          <t>BE</t>
        </is>
      </c>
      <c r="E27" s="23" t="inlineStr">
        <is>
          <t>Servicio de extracción con salida estructurada</t>
        </is>
      </c>
      <c r="F27" s="14" t="inlineStr">
        <is>
          <t>Módulo que encapsula al proveedor: envía la imagen con el prompt y un esquema JSON (tipo de registro, campos, filas, confianza por dato) y valida la respuesta.</t>
        </is>
      </c>
      <c r="G27" s="14" t="inlineStr">
        <is>
          <t>Ante una foto del set devuelve JSON válido según el esquema; cambiar de proveedor solo toca este módulo.</t>
        </is>
      </c>
      <c r="H27" s="29" t="inlineStr">
        <is>
          <t>T-094</t>
        </is>
      </c>
      <c r="I27" s="12" t="inlineStr">
        <is>
          <t>L</t>
        </is>
      </c>
      <c r="J27" s="12" t="inlineStr">
        <is>
          <t>Por hacer</t>
        </is>
      </c>
      <c r="K27" s="14" t="n"/>
    </row>
    <row r="28" ht="46.5" customHeight="1" s="40">
      <c r="A28" s="11" t="inlineStr">
        <is>
          <t>T-096</t>
        </is>
      </c>
      <c r="B28" s="15" t="inlineStr">
        <is>
          <t>MVP 2</t>
        </is>
      </c>
      <c r="C28" s="20" t="inlineStr">
        <is>
          <t>H-29 · Lectura del cuaderno con IA</t>
        </is>
      </c>
      <c r="D28" s="31" t="inlineStr">
        <is>
          <t>BE</t>
        </is>
      </c>
      <c r="E28" s="18" t="inlineStr">
        <is>
          <t>Cola de procesamiento y estados</t>
        </is>
      </c>
      <c r="F28" s="16" t="inlineStr">
        <is>
          <t>Worker que toma lotes pendientes, llama al servicio de extracción y guarda el resultado; estados pendiente/procesando/listo/error, reintentos y timeout.</t>
        </is>
      </c>
      <c r="G28" s="16" t="inlineStr">
        <is>
          <t>Un lote termina en 'listo' o en 'error' con motivo; la API no se bloquea mientras procesa.</t>
        </is>
      </c>
      <c r="H28" s="28" t="inlineStr">
        <is>
          <t>T-090, T-095</t>
        </is>
      </c>
      <c r="I28" s="17" t="inlineStr">
        <is>
          <t>M</t>
        </is>
      </c>
      <c r="J28" s="17" t="inlineStr">
        <is>
          <t>Por hacer</t>
        </is>
      </c>
      <c r="K28" s="16" t="n"/>
    </row>
    <row r="29" ht="46.5" customHeight="1" s="40">
      <c r="A29" s="22" t="inlineStr">
        <is>
          <t>T-097</t>
        </is>
      </c>
      <c r="B29" s="15" t="inlineStr">
        <is>
          <t>MVP 2</t>
        </is>
      </c>
      <c r="C29" s="25" t="inlineStr">
        <is>
          <t>H-29 · Lectura del cuaderno con IA</t>
        </is>
      </c>
      <c r="D29" s="31" t="inlineStr">
        <is>
          <t>BE</t>
        </is>
      </c>
      <c r="E29" s="23" t="inlineStr">
        <is>
          <t>Propuesta de estructura y mapeo a bloques</t>
        </is>
      </c>
      <c r="F29" s="14" t="inlineStr">
        <is>
          <t>A partir del resultado, armar la propuesta de bloque y campos tipados (texto, número, fecha, opción, sí/no) o mapear las columnas a un bloque existente del negocio.</t>
        </is>
      </c>
      <c r="G29" s="14" t="inlineStr">
        <is>
          <t>Dos fotos del mismo cuaderno terminan en el mismo bloque; los tipos de campo coinciden con lo esperado en el set.</t>
        </is>
      </c>
      <c r="H29" s="29" t="inlineStr">
        <is>
          <t>T-096, T-018</t>
        </is>
      </c>
      <c r="I29" s="12" t="inlineStr">
        <is>
          <t>M</t>
        </is>
      </c>
      <c r="J29" s="12" t="inlineStr">
        <is>
          <t>Por hacer</t>
        </is>
      </c>
      <c r="K29" s="14" t="n"/>
    </row>
    <row r="30" ht="33.75" customHeight="1" s="40">
      <c r="A30" s="11" t="inlineStr">
        <is>
          <t>T-098</t>
        </is>
      </c>
      <c r="B30" s="15" t="inlineStr">
        <is>
          <t>MVP 2</t>
        </is>
      </c>
      <c r="C30" s="20" t="inlineStr">
        <is>
          <t>H-29 · Lectura del cuaderno con IA</t>
        </is>
      </c>
      <c r="D30" s="31" t="inlineStr">
        <is>
          <t>BE</t>
        </is>
      </c>
      <c r="E30" s="18" t="inlineStr">
        <is>
          <t>Límites y registro de consumo de IA</t>
        </is>
      </c>
      <c r="F30" s="16" t="inlineStr">
        <is>
          <t>Guardar páginas procesadas, tokens y costo estimado por negocio; límite diario configurable y mensaje claro al superarlo.</t>
        </is>
      </c>
      <c r="G30" s="16" t="inlineStr">
        <is>
          <t>Al superar el límite el lote no se procesa y el usuario ve el aviso; el consumo se puede consultar.</t>
        </is>
      </c>
      <c r="H30" s="28" t="inlineStr">
        <is>
          <t>T-096</t>
        </is>
      </c>
      <c r="I30" s="17" t="inlineStr">
        <is>
          <t>S</t>
        </is>
      </c>
      <c r="J30" s="17" t="inlineStr">
        <is>
          <t>Por hacer</t>
        </is>
      </c>
      <c r="K30" s="16" t="n"/>
    </row>
    <row r="31" ht="33.75" customHeight="1" s="40">
      <c r="A31" s="22" t="inlineStr">
        <is>
          <t>T-099</t>
        </is>
      </c>
      <c r="B31" s="15" t="inlineStr">
        <is>
          <t>MVP 2</t>
        </is>
      </c>
      <c r="C31" s="25" t="inlineStr">
        <is>
          <t>H-29 · Lectura del cuaderno con IA</t>
        </is>
      </c>
      <c r="D31" s="33" t="inlineStr">
        <is>
          <t>QA</t>
        </is>
      </c>
      <c r="E31" s="23" t="inlineStr">
        <is>
          <t>Medición de precisión automatizada</t>
        </is>
      </c>
      <c r="F31" s="14" t="inlineStr">
        <is>
          <t>Script que corre el set de prueba contra el servicio de extracción y reporta el % de datos correctos por tipo de registro.</t>
        </is>
      </c>
      <c r="G31" s="14" t="inlineStr">
        <is>
          <t>Corre con un comando y deja el reporte; se usa antes de cambiar prompt o modelo.</t>
        </is>
      </c>
      <c r="H31" s="29" t="inlineStr">
        <is>
          <t>T-093, T-095</t>
        </is>
      </c>
      <c r="I31" s="12" t="inlineStr">
        <is>
          <t>S</t>
        </is>
      </c>
      <c r="J31" s="12" t="inlineStr">
        <is>
          <t>Por hacer</t>
        </is>
      </c>
      <c r="K31" s="14" t="n"/>
    </row>
    <row r="32" ht="46.5" customHeight="1" s="40">
      <c r="A32" s="11" t="inlineStr">
        <is>
          <t>T-100</t>
        </is>
      </c>
      <c r="B32" s="15" t="inlineStr">
        <is>
          <t>MVP 2</t>
        </is>
      </c>
      <c r="C32" s="20" t="inlineStr">
        <is>
          <t>H-30 · Revisar y confirmar lo que leyó la IA</t>
        </is>
      </c>
      <c r="D32" s="32" t="inlineStr">
        <is>
          <t>FE</t>
        </is>
      </c>
      <c r="E32" s="18" t="inlineStr">
        <is>
          <t>Estado de procesamiento</t>
        </is>
      </c>
      <c r="F32" s="16" t="inlineStr">
        <is>
          <t>Pantalla de espera con mensaje simple ('Estamos leyendo tu cuaderno…'), consulta del estado y errores comprensibles con opción de reintentar o sacar otra foto.</t>
        </is>
      </c>
      <c r="G32" s="16" t="inlineStr">
        <is>
          <t>El usuario siempre sabe si se está leyendo, si terminó o si falló y qué hacer.</t>
        </is>
      </c>
      <c r="H32" s="28" t="inlineStr">
        <is>
          <t>T-091, T-096</t>
        </is>
      </c>
      <c r="I32" s="17" t="inlineStr">
        <is>
          <t>S</t>
        </is>
      </c>
      <c r="J32" s="17" t="inlineStr">
        <is>
          <t>Por hacer</t>
        </is>
      </c>
      <c r="K32" s="16" t="n"/>
    </row>
    <row r="33" ht="46.5" customHeight="1" s="40">
      <c r="A33" s="22" t="inlineStr">
        <is>
          <t>T-101</t>
        </is>
      </c>
      <c r="B33" s="15" t="inlineStr">
        <is>
          <t>MVP 2</t>
        </is>
      </c>
      <c r="C33" s="25" t="inlineStr">
        <is>
          <t>H-30 · Revisar y confirmar lo que leyó la IA</t>
        </is>
      </c>
      <c r="D33" s="32" t="inlineStr">
        <is>
          <t>FE</t>
        </is>
      </c>
      <c r="E33" s="23" t="inlineStr">
        <is>
          <t>Pantalla de revisión</t>
        </is>
      </c>
      <c r="F33" s="14" t="inlineStr">
        <is>
          <t>Foto ampliable con zoom + tabla editable con los datos leídos y la estructura propuesta (nombre del bloque y campos). En celular, apilado; en computadora, lado a lado.</t>
        </is>
      </c>
      <c r="G33" s="14" t="inlineStr">
        <is>
          <t>Se puede corregir cualquier celda, quitar filas y renombrar campos sin perder lo editado.</t>
        </is>
      </c>
      <c r="H33" s="29" t="inlineStr">
        <is>
          <t>T-097, T-100</t>
        </is>
      </c>
      <c r="I33" s="12" t="inlineStr">
        <is>
          <t>L</t>
        </is>
      </c>
      <c r="J33" s="12" t="inlineStr">
        <is>
          <t>Por hacer</t>
        </is>
      </c>
      <c r="K33" s="14" t="n"/>
    </row>
    <row r="34" ht="33.75" customHeight="1" s="40">
      <c r="A34" s="11" t="inlineStr">
        <is>
          <t>T-102</t>
        </is>
      </c>
      <c r="B34" s="15" t="inlineStr">
        <is>
          <t>MVP 2</t>
        </is>
      </c>
      <c r="C34" s="20" t="inlineStr">
        <is>
          <t>H-30 · Revisar y confirmar lo que leyó la IA</t>
        </is>
      </c>
      <c r="D34" s="32" t="inlineStr">
        <is>
          <t>FE</t>
        </is>
      </c>
      <c r="E34" s="18" t="inlineStr">
        <is>
          <t>Resaltado de datos dudosos</t>
        </is>
      </c>
      <c r="F34" s="16" t="inlineStr">
        <is>
          <t>Marcar visualmente los datos con baja confianza y permitir recorrerlos de a uno ('Siguiente duda').</t>
        </is>
      </c>
      <c r="G34" s="16" t="inlineStr">
        <is>
          <t>Los datos bajo el umbral se ven resaltados y se recorren con un botón.</t>
        </is>
      </c>
      <c r="H34" s="28" t="inlineStr">
        <is>
          <t>T-101</t>
        </is>
      </c>
      <c r="I34" s="17" t="inlineStr">
        <is>
          <t>S</t>
        </is>
      </c>
      <c r="J34" s="17" t="inlineStr">
        <is>
          <t>Por hacer</t>
        </is>
      </c>
      <c r="K34" s="16" t="n"/>
    </row>
    <row r="35" ht="46.5" customHeight="1" s="40">
      <c r="A35" s="22" t="inlineStr">
        <is>
          <t>T-103</t>
        </is>
      </c>
      <c r="B35" s="15" t="inlineStr">
        <is>
          <t>MVP 2</t>
        </is>
      </c>
      <c r="C35" s="25" t="inlineStr">
        <is>
          <t>H-30 · Revisar y confirmar lo que leyó la IA</t>
        </is>
      </c>
      <c r="D35" s="31" t="inlineStr">
        <is>
          <t>BE</t>
        </is>
      </c>
      <c r="E35" s="23" t="inlineStr">
        <is>
          <t>Confirmar digitalización</t>
        </is>
      </c>
      <c r="F35" s="14" t="inlineStr">
        <is>
          <t>POST /uploads/:id/confirm crea (o reutiliza) proyecto, bloque y campos y guarda los registros en una transacción, con la referencia a la foto de origen de cada uno.</t>
        </is>
      </c>
      <c r="G35" s="14" t="inlineStr">
        <is>
          <t>Si algo falla no queda nada a medias; cada registro guarda la referencia a su foto.</t>
        </is>
      </c>
      <c r="H35" s="29" t="inlineStr">
        <is>
          <t>T-097, T-023</t>
        </is>
      </c>
      <c r="I35" s="12" t="inlineStr">
        <is>
          <t>M</t>
        </is>
      </c>
      <c r="J35" s="12" t="inlineStr">
        <is>
          <t>Por hacer</t>
        </is>
      </c>
      <c r="K35" s="14" t="n"/>
    </row>
    <row r="36" ht="33.75" customHeight="1" s="40">
      <c r="A36" s="11" t="inlineStr">
        <is>
          <t>T-104</t>
        </is>
      </c>
      <c r="B36" s="15" t="inlineStr">
        <is>
          <t>MVP 2</t>
        </is>
      </c>
      <c r="C36" s="20" t="inlineStr">
        <is>
          <t>H-30 · Revisar y confirmar lo que leyó la IA</t>
        </is>
      </c>
      <c r="D36" s="37" t="inlineStr">
        <is>
          <t>Fullstack</t>
        </is>
      </c>
      <c r="E36" s="18" t="inlineStr">
        <is>
          <t>Ver la foto de origen desde la ficha</t>
        </is>
      </c>
      <c r="F36" s="16" t="inlineStr">
        <is>
          <t>En la ficha del registro, botón 'Ver en el cuaderno' que abre la foto original.</t>
        </is>
      </c>
      <c r="G36" s="16" t="inlineStr">
        <is>
          <t>La foto abre con URL firmada y solo para el negocio dueño.</t>
        </is>
      </c>
      <c r="H36" s="28" t="inlineStr">
        <is>
          <t>T-103, T-030</t>
        </is>
      </c>
      <c r="I36" s="17" t="inlineStr">
        <is>
          <t>S</t>
        </is>
      </c>
      <c r="J36" s="17" t="inlineStr">
        <is>
          <t>Por hacer</t>
        </is>
      </c>
      <c r="K36" s="16" t="n"/>
    </row>
    <row r="37" ht="33.75" customHeight="1" s="40">
      <c r="A37" s="22" t="inlineStr">
        <is>
          <t>T-012</t>
        </is>
      </c>
      <c r="B37" s="15" t="inlineStr">
        <is>
          <t>MVP 2</t>
        </is>
      </c>
      <c r="C37" s="25" t="inlineStr">
        <is>
          <t>H-03 · Crear proyecto desde plantilla o en blanco</t>
        </is>
      </c>
      <c r="D37" s="31" t="inlineStr">
        <is>
          <t>BE</t>
        </is>
      </c>
      <c r="E37" s="23" t="inlineStr">
        <is>
          <t>CRUD de proyectos</t>
        </is>
      </c>
      <c r="F37" s="14" t="inlineStr">
        <is>
          <t>GET/POST/PATCH/DELETE /projects (crear en blanco, renombrar, eliminar).</t>
        </is>
      </c>
      <c r="G37" s="14" t="inlineStr">
        <is>
          <t>Endpoints con tests; eliminar borra bloques, campos y registros del proyecto.</t>
        </is>
      </c>
      <c r="H37" s="29" t="inlineStr">
        <is>
          <t>T-010</t>
        </is>
      </c>
      <c r="I37" s="12" t="inlineStr">
        <is>
          <t>M</t>
        </is>
      </c>
      <c r="J37" s="12" t="inlineStr">
        <is>
          <t>Por hacer</t>
        </is>
      </c>
      <c r="K37" s="14" t="n"/>
    </row>
    <row r="38" ht="33.75" customHeight="1" s="40">
      <c r="A38" s="11" t="inlineStr">
        <is>
          <t>T-013</t>
        </is>
      </c>
      <c r="B38" s="15" t="inlineStr">
        <is>
          <t>MVP 2</t>
        </is>
      </c>
      <c r="C38" s="20" t="inlineStr">
        <is>
          <t>H-03 · Crear proyecto desde plantilla o en blanco</t>
        </is>
      </c>
      <c r="D38" s="31" t="inlineStr">
        <is>
          <t>BE</t>
        </is>
      </c>
      <c r="E38" s="18" t="inlineStr">
        <is>
          <t>Plantillas base como seeds</t>
        </is>
      </c>
      <c r="F38" s="16" t="inlineStr">
        <is>
          <t>2-3 plantillas en JSON (ej. Inventario, Pedidos, Clientes) con bloques y campos + GET /templates.</t>
        </is>
      </c>
      <c r="G38" s="16" t="inlineStr">
        <is>
          <t>GET /templates devuelve nombre, descripción y estructura de cada una.</t>
        </is>
      </c>
      <c r="H38" s="28" t="inlineStr">
        <is>
          <t>T-004</t>
        </is>
      </c>
      <c r="I38" s="17" t="inlineStr">
        <is>
          <t>S</t>
        </is>
      </c>
      <c r="J38" s="17" t="inlineStr">
        <is>
          <t>Por hacer</t>
        </is>
      </c>
      <c r="K38" s="16" t="n"/>
    </row>
    <row r="39" ht="33.75" customHeight="1" s="40">
      <c r="A39" s="22" t="inlineStr">
        <is>
          <t>T-014</t>
        </is>
      </c>
      <c r="B39" s="15" t="inlineStr">
        <is>
          <t>MVP 2</t>
        </is>
      </c>
      <c r="C39" s="25" t="inlineStr">
        <is>
          <t>H-03 · Crear proyecto desde plantilla o en blanco</t>
        </is>
      </c>
      <c r="D39" s="31" t="inlineStr">
        <is>
          <t>BE</t>
        </is>
      </c>
      <c r="E39" s="23" t="inlineStr">
        <is>
          <t>Crear proyecto desde plantilla</t>
        </is>
      </c>
      <c r="F39" s="14" t="inlineStr">
        <is>
          <t>POST /projects/from-template/:id copia bloques y campos al negocio del usuario.</t>
        </is>
      </c>
      <c r="G39" s="14" t="inlineStr">
        <is>
          <t>El proyecto creado se edita sin modificar la plantilla original.</t>
        </is>
      </c>
      <c r="H39" s="29" t="inlineStr">
        <is>
          <t>T-012, T-013</t>
        </is>
      </c>
      <c r="I39" s="12" t="inlineStr">
        <is>
          <t>M</t>
        </is>
      </c>
      <c r="J39" s="12" t="inlineStr">
        <is>
          <t>Por hacer</t>
        </is>
      </c>
      <c r="K39" s="14" t="n"/>
    </row>
    <row r="40" ht="46.5" customHeight="1" s="40">
      <c r="A40" s="11" t="inlineStr">
        <is>
          <t>T-015</t>
        </is>
      </c>
      <c r="B40" s="15" t="inlineStr">
        <is>
          <t>MVP 2</t>
        </is>
      </c>
      <c r="C40" s="20" t="inlineStr">
        <is>
          <t>H-03 · Crear proyecto desde plantilla o en blanco</t>
        </is>
      </c>
      <c r="D40" s="32" t="inlineStr">
        <is>
          <t>FE</t>
        </is>
      </c>
      <c r="E40" s="18" t="inlineStr">
        <is>
          <t>Inicio con «Subir foto» y listado de proyectos</t>
        </is>
      </c>
      <c r="F40" s="16" t="inlineStr">
        <is>
          <t>Pantalla de inicio: si no hay nada, botón principal 'Subir foto de mi cuaderno' y opciones secundarias 'Usar plantilla' o 'Empezar en blanco'; con proyectos, la lista.</t>
        </is>
      </c>
      <c r="G40" s="16" t="inlineStr">
        <is>
          <t>Usuario nuevo ve la foto como opción destacada; con proyectos ve la lista y puede abrirlos.</t>
        </is>
      </c>
      <c r="H40" s="28" t="inlineStr">
        <is>
          <t>T-012, T-009</t>
        </is>
      </c>
      <c r="I40" s="17" t="inlineStr">
        <is>
          <t>M</t>
        </is>
      </c>
      <c r="J40" s="17" t="inlineStr">
        <is>
          <t>Por hacer</t>
        </is>
      </c>
      <c r="K40" s="16" t="n"/>
    </row>
    <row r="41" ht="33.75" customHeight="1" s="40">
      <c r="A41" s="22" t="inlineStr">
        <is>
          <t>T-016</t>
        </is>
      </c>
      <c r="B41" s="15" t="inlineStr">
        <is>
          <t>MVP 2</t>
        </is>
      </c>
      <c r="C41" s="25" t="inlineStr">
        <is>
          <t>H-03 · Crear proyecto desde plantilla o en blanco</t>
        </is>
      </c>
      <c r="D41" s="32" t="inlineStr">
        <is>
          <t>FE</t>
        </is>
      </c>
      <c r="E41" s="23" t="inlineStr">
        <is>
          <t>Catálogo de plantillas</t>
        </is>
      </c>
      <c r="F41" s="14" t="inlineStr">
        <is>
          <t>Cards de plantillas con descripción y botón 'Usar esta plantilla' que crea el proyecto y abre el constructor.</t>
        </is>
      </c>
      <c r="G41" s="14" t="inlineStr">
        <is>
          <t>Elegir una plantilla deja al usuario dentro del constructor con los bloques copiados.</t>
        </is>
      </c>
      <c r="H41" s="29" t="inlineStr">
        <is>
          <t>T-014, T-015</t>
        </is>
      </c>
      <c r="I41" s="12" t="inlineStr">
        <is>
          <t>S</t>
        </is>
      </c>
      <c r="J41" s="12" t="inlineStr">
        <is>
          <t>Por hacer</t>
        </is>
      </c>
      <c r="K41" s="14" t="n"/>
    </row>
    <row r="42" ht="33.75" customHeight="1" s="40">
      <c r="A42" s="11" t="inlineStr">
        <is>
          <t>T-017</t>
        </is>
      </c>
      <c r="B42" s="15" t="inlineStr">
        <is>
          <t>MVP 2</t>
        </is>
      </c>
      <c r="C42" s="20" t="inlineStr">
        <is>
          <t>H-04 · Constructor de bloques y campos</t>
        </is>
      </c>
      <c r="D42" s="31" t="inlineStr">
        <is>
          <t>BE</t>
        </is>
      </c>
      <c r="E42" s="18" t="inlineStr">
        <is>
          <t>CRUD de bloques</t>
        </is>
      </c>
      <c r="F42" s="16" t="inlineStr">
        <is>
          <t>Endpoints de bloques dentro de un proyecto (crear, renombrar, eliminar, listar).</t>
        </is>
      </c>
      <c r="G42" s="16" t="inlineStr">
        <is>
          <t>Tests de endpoints; eliminar un bloque borra sus campos y registros.</t>
        </is>
      </c>
      <c r="H42" s="28" t="inlineStr">
        <is>
          <t>T-012</t>
        </is>
      </c>
      <c r="I42" s="17" t="inlineStr">
        <is>
          <t>S</t>
        </is>
      </c>
      <c r="J42" s="17" t="inlineStr">
        <is>
          <t>Por hacer</t>
        </is>
      </c>
      <c r="K42" s="16" t="n"/>
    </row>
    <row r="43" ht="46.5" customHeight="1" s="40">
      <c r="A43" s="22" t="inlineStr">
        <is>
          <t>T-018</t>
        </is>
      </c>
      <c r="B43" s="15" t="inlineStr">
        <is>
          <t>MVP 2</t>
        </is>
      </c>
      <c r="C43" s="25" t="inlineStr">
        <is>
          <t>H-04 · Constructor de bloques y campos</t>
        </is>
      </c>
      <c r="D43" s="31" t="inlineStr">
        <is>
          <t>BE</t>
        </is>
      </c>
      <c r="E43" s="23" t="inlineStr">
        <is>
          <t>CRUD de campos tipados</t>
        </is>
      </c>
      <c r="F43" s="14" t="inlineStr">
        <is>
          <t>Endpoints de campos con tipos texto, número, fecha, opción, sí/no; obligatorio y valor inicial; valida config (opción exige lista de opciones).</t>
        </is>
      </c>
      <c r="G43" s="14" t="inlineStr">
        <is>
          <t>Config inválida devuelve 400; tipos fuera de la lista se rechazan.</t>
        </is>
      </c>
      <c r="H43" s="29" t="inlineStr">
        <is>
          <t>T-017</t>
        </is>
      </c>
      <c r="I43" s="12" t="inlineStr">
        <is>
          <t>M</t>
        </is>
      </c>
      <c r="J43" s="12" t="inlineStr">
        <is>
          <t>Por hacer</t>
        </is>
      </c>
      <c r="K43" s="14" t="n"/>
    </row>
    <row r="44" ht="33.75" customHeight="1" s="40">
      <c r="A44" s="11" t="inlineStr">
        <is>
          <t>T-019</t>
        </is>
      </c>
      <c r="B44" s="15" t="inlineStr">
        <is>
          <t>MVP 2</t>
        </is>
      </c>
      <c r="C44" s="20" t="inlineStr">
        <is>
          <t>H-04 · Constructor de bloques y campos</t>
        </is>
      </c>
      <c r="D44" s="32" t="inlineStr">
        <is>
          <t>FE</t>
        </is>
      </c>
      <c r="E44" s="18" t="inlineStr">
        <is>
          <t>Layout del constructor</t>
        </is>
      </c>
      <c r="F44" s="16" t="inlineStr">
        <is>
          <t>Pantalla con lista de bloques a la izquierda y panel de campos del bloque seleccionado.</t>
        </is>
      </c>
      <c r="G44" s="16" t="inlineStr">
        <is>
          <t>Se navega entre bloques y se ven sus campos; layout según manual de marca.</t>
        </is>
      </c>
      <c r="H44" s="28" t="inlineStr">
        <is>
          <t>T-015</t>
        </is>
      </c>
      <c r="I44" s="17" t="inlineStr">
        <is>
          <t>M</t>
        </is>
      </c>
      <c r="J44" s="17" t="inlineStr">
        <is>
          <t>Por hacer</t>
        </is>
      </c>
      <c r="K44" s="16" t="n"/>
    </row>
    <row r="45" ht="33.75" customHeight="1" s="40">
      <c r="A45" s="22" t="inlineStr">
        <is>
          <t>T-020</t>
        </is>
      </c>
      <c r="B45" s="15" t="inlineStr">
        <is>
          <t>MVP 2</t>
        </is>
      </c>
      <c r="C45" s="25" t="inlineStr">
        <is>
          <t>H-04 · Constructor de bloques y campos</t>
        </is>
      </c>
      <c r="D45" s="32" t="inlineStr">
        <is>
          <t>FE</t>
        </is>
      </c>
      <c r="E45" s="23" t="inlineStr">
        <is>
          <t>Agregar, renombrar y eliminar bloques</t>
        </is>
      </c>
      <c r="F45" s="14" t="inlineStr">
        <is>
          <t>Acciones sobre bloques en el constructor con confirmación al eliminar.</t>
        </is>
      </c>
      <c r="G45" s="14" t="inlineStr">
        <is>
          <t>Los cambios persisten al recargar la página.</t>
        </is>
      </c>
      <c r="H45" s="29" t="inlineStr">
        <is>
          <t>T-019, T-017</t>
        </is>
      </c>
      <c r="I45" s="12" t="inlineStr">
        <is>
          <t>S</t>
        </is>
      </c>
      <c r="J45" s="12" t="inlineStr">
        <is>
          <t>Por hacer</t>
        </is>
      </c>
      <c r="K45" s="14" t="n"/>
    </row>
    <row r="46" ht="33.75" customHeight="1" s="40">
      <c r="A46" s="11" t="inlineStr">
        <is>
          <t>T-021</t>
        </is>
      </c>
      <c r="B46" s="15" t="inlineStr">
        <is>
          <t>MVP 2</t>
        </is>
      </c>
      <c r="C46" s="20" t="inlineStr">
        <is>
          <t>H-04 · Constructor de bloques y campos</t>
        </is>
      </c>
      <c r="D46" s="32" t="inlineStr">
        <is>
          <t>FE</t>
        </is>
      </c>
      <c r="E46" s="18" t="inlineStr">
        <is>
          <t>Editor de campos</t>
        </is>
      </c>
      <c r="F46" s="16" t="inlineStr">
        <is>
          <t>Formulario para crear/editar campo: nombre, tipo, obligatorio, valor inicial y opciones (si es tipo opción); eliminar campo.</t>
        </is>
      </c>
      <c r="G46" s="16" t="inlineStr">
        <is>
          <t>Se crean los 5 tipos de campo y persisten al recargar.</t>
        </is>
      </c>
      <c r="H46" s="28" t="inlineStr">
        <is>
          <t>T-019, T-018</t>
        </is>
      </c>
      <c r="I46" s="17" t="inlineStr">
        <is>
          <t>M</t>
        </is>
      </c>
      <c r="J46" s="17" t="inlineStr">
        <is>
          <t>Por hacer</t>
        </is>
      </c>
      <c r="K46" s="16" t="n"/>
    </row>
    <row r="47" ht="33.75" customHeight="1" s="40">
      <c r="A47" s="22" t="inlineStr">
        <is>
          <t>T-022</t>
        </is>
      </c>
      <c r="B47" s="15" t="inlineStr">
        <is>
          <t>MVP 2</t>
        </is>
      </c>
      <c r="C47" s="25" t="inlineStr">
        <is>
          <t>H-05 · Formulario de carga generado automáticamente</t>
        </is>
      </c>
      <c r="D47" s="31" t="inlineStr">
        <is>
          <t>BE</t>
        </is>
      </c>
      <c r="E47" s="23" t="inlineStr">
        <is>
          <t>Validador dinámico de registros</t>
        </is>
      </c>
      <c r="F47" s="14" t="inlineStr">
        <is>
          <t>Función que valida values contra la definición de campos (tipo, obligatorio, opción válida, valor inicial).</t>
        </is>
      </c>
      <c r="G47" s="14" t="inlineStr">
        <is>
          <t>Tests unitarios por cada tipo de campo y caso de error.</t>
        </is>
      </c>
      <c r="H47" s="29" t="inlineStr">
        <is>
          <t>T-018</t>
        </is>
      </c>
      <c r="I47" s="12" t="inlineStr">
        <is>
          <t>M</t>
        </is>
      </c>
      <c r="J47" s="12" t="inlineStr">
        <is>
          <t>Por hacer</t>
        </is>
      </c>
      <c r="K47" s="14" t="n"/>
    </row>
    <row r="48" ht="33.75" customHeight="1" s="40">
      <c r="A48" s="11" t="inlineStr">
        <is>
          <t>T-023</t>
        </is>
      </c>
      <c r="B48" s="15" t="inlineStr">
        <is>
          <t>MVP 2</t>
        </is>
      </c>
      <c r="C48" s="20" t="inlineStr">
        <is>
          <t>H-05 · Formulario de carga generado automáticamente</t>
        </is>
      </c>
      <c r="D48" s="31" t="inlineStr">
        <is>
          <t>BE</t>
        </is>
      </c>
      <c r="E48" s="18" t="inlineStr">
        <is>
          <t>Crear registro</t>
        </is>
      </c>
      <c r="F48" s="16" t="inlineStr">
        <is>
          <t>POST /blocks/:id/records usa el validador; responde errores por campo { campo: mensaje }.</t>
        </is>
      </c>
      <c r="G48" s="16" t="inlineStr">
        <is>
          <t>Registro inválido → 400 con errores por campo; válido → 201.</t>
        </is>
      </c>
      <c r="H48" s="28" t="inlineStr">
        <is>
          <t>T-022, T-010</t>
        </is>
      </c>
      <c r="I48" s="17" t="inlineStr">
        <is>
          <t>S</t>
        </is>
      </c>
      <c r="J48" s="17" t="inlineStr">
        <is>
          <t>Por hacer</t>
        </is>
      </c>
      <c r="K48" s="16" t="n"/>
    </row>
    <row r="49" ht="33.75" customHeight="1" s="40">
      <c r="A49" s="22" t="inlineStr">
        <is>
          <t>T-024</t>
        </is>
      </c>
      <c r="B49" s="15" t="inlineStr">
        <is>
          <t>MVP 2</t>
        </is>
      </c>
      <c r="C49" s="25" t="inlineStr">
        <is>
          <t>H-05 · Formulario de carga generado automáticamente</t>
        </is>
      </c>
      <c r="D49" s="32" t="inlineStr">
        <is>
          <t>FE</t>
        </is>
      </c>
      <c r="E49" s="23" t="inlineStr">
        <is>
          <t>FormRenderer dinámico</t>
        </is>
      </c>
      <c r="F49" s="14" t="inlineStr">
        <is>
          <t>Componente que arma el formulario a partir de los campos (input por tipo) aplicando valores iniciales.</t>
        </is>
      </c>
      <c r="G49" s="14" t="inlineStr">
        <is>
          <t>Un bloque con los 5 tipos renderiza el input correcto para cada uno.</t>
        </is>
      </c>
      <c r="H49" s="29" t="inlineStr">
        <is>
          <t>T-021</t>
        </is>
      </c>
      <c r="I49" s="12" t="inlineStr">
        <is>
          <t>M</t>
        </is>
      </c>
      <c r="J49" s="12" t="inlineStr">
        <is>
          <t>Por hacer</t>
        </is>
      </c>
      <c r="K49" s="14" t="n"/>
    </row>
    <row r="50" ht="33.75" customHeight="1" s="40">
      <c r="A50" s="11" t="inlineStr">
        <is>
          <t>T-025</t>
        </is>
      </c>
      <c r="B50" s="15" t="inlineStr">
        <is>
          <t>MVP 2</t>
        </is>
      </c>
      <c r="C50" s="20" t="inlineStr">
        <is>
          <t>H-05 · Formulario de carga generado automáticamente</t>
        </is>
      </c>
      <c r="D50" s="32" t="inlineStr">
        <is>
          <t>FE</t>
        </is>
      </c>
      <c r="E50" s="18" t="inlineStr">
        <is>
          <t>Validación y feedback del formulario</t>
        </is>
      </c>
      <c r="F50" s="16" t="inlineStr">
        <is>
          <t>Validación en cliente, errores del servidor junto a cada campo, toast de éxito/error, botón deshabilitado mientras guarda.</t>
        </is>
      </c>
      <c r="G50" s="16" t="inlineStr">
        <is>
          <t>Doble click no crea dos registros; si falla no se pierde lo escrito.</t>
        </is>
      </c>
      <c r="H50" s="28" t="inlineStr">
        <is>
          <t>T-024, T-023</t>
        </is>
      </c>
      <c r="I50" s="17" t="inlineStr">
        <is>
          <t>S</t>
        </is>
      </c>
      <c r="J50" s="17" t="inlineStr">
        <is>
          <t>Por hacer</t>
        </is>
      </c>
      <c r="K50" s="16" t="n"/>
    </row>
    <row r="51" ht="33.75" customHeight="1" s="40">
      <c r="A51" s="22" t="inlineStr">
        <is>
          <t>T-026</t>
        </is>
      </c>
      <c r="B51" s="15" t="inlineStr">
        <is>
          <t>MVP 2</t>
        </is>
      </c>
      <c r="C51" s="25" t="inlineStr">
        <is>
          <t>H-06 · Tabla de registros con gestión completa</t>
        </is>
      </c>
      <c r="D51" s="31" t="inlineStr">
        <is>
          <t>BE</t>
        </is>
      </c>
      <c r="E51" s="23" t="inlineStr">
        <is>
          <t>Listado de registros</t>
        </is>
      </c>
      <c r="F51" s="14" t="inlineStr">
        <is>
          <t>GET /blocks/:id/records con paginación, búsqueda de texto y orden por campo.</t>
        </is>
      </c>
      <c r="G51" s="14" t="inlineStr">
        <is>
          <t>Búsqueda y orden funcionan sobre values JSON; tests con 100+ registros.</t>
        </is>
      </c>
      <c r="H51" s="29" t="inlineStr">
        <is>
          <t>T-023</t>
        </is>
      </c>
      <c r="I51" s="12" t="inlineStr">
        <is>
          <t>M</t>
        </is>
      </c>
      <c r="J51" s="12" t="inlineStr">
        <is>
          <t>Por hacer</t>
        </is>
      </c>
      <c r="K51" s="14" t="n"/>
    </row>
    <row r="52" ht="33.75" customHeight="1" s="40">
      <c r="A52" s="11" t="inlineStr">
        <is>
          <t>T-027</t>
        </is>
      </c>
      <c r="B52" s="15" t="inlineStr">
        <is>
          <t>MVP 2</t>
        </is>
      </c>
      <c r="C52" s="20" t="inlineStr">
        <is>
          <t>H-06 · Tabla de registros con gestión completa</t>
        </is>
      </c>
      <c r="D52" s="31" t="inlineStr">
        <is>
          <t>BE</t>
        </is>
      </c>
      <c r="E52" s="18" t="inlineStr">
        <is>
          <t>Ver, editar y eliminar registro</t>
        </is>
      </c>
      <c r="F52" s="16" t="inlineStr">
        <is>
          <t>GET/PATCH/DELETE /records/:id; PATCH reutiliza el validador.</t>
        </is>
      </c>
      <c r="G52" s="16" t="inlineStr">
        <is>
          <t>Editar con datos inválidos devuelve 400 por campo.</t>
        </is>
      </c>
      <c r="H52" s="28" t="inlineStr">
        <is>
          <t>T-023</t>
        </is>
      </c>
      <c r="I52" s="17" t="inlineStr">
        <is>
          <t>S</t>
        </is>
      </c>
      <c r="J52" s="17" t="inlineStr">
        <is>
          <t>Por hacer</t>
        </is>
      </c>
      <c r="K52" s="16" t="n"/>
    </row>
    <row r="53" ht="33.75" customHeight="1" s="40">
      <c r="A53" s="22" t="inlineStr">
        <is>
          <t>T-028</t>
        </is>
      </c>
      <c r="B53" s="15" t="inlineStr">
        <is>
          <t>MVP 2</t>
        </is>
      </c>
      <c r="C53" s="25" t="inlineStr">
        <is>
          <t>H-06 · Tabla de registros con gestión completa</t>
        </is>
      </c>
      <c r="D53" s="32" t="inlineStr">
        <is>
          <t>FE</t>
        </is>
      </c>
      <c r="E53" s="23" t="inlineStr">
        <is>
          <t>Tabla dinámica de registros</t>
        </is>
      </c>
      <c r="F53" s="14" t="inlineStr">
        <is>
          <t>Tabla con una columna por campo, formateo por tipo (fecha, sí/no) y paginación.</t>
        </is>
      </c>
      <c r="G53" s="14" t="inlineStr">
        <is>
          <t>Muestra los registros del bloque con sus columnas.</t>
        </is>
      </c>
      <c r="H53" s="29" t="inlineStr">
        <is>
          <t>T-026, T-024</t>
        </is>
      </c>
      <c r="I53" s="12" t="inlineStr">
        <is>
          <t>M</t>
        </is>
      </c>
      <c r="J53" s="12" t="inlineStr">
        <is>
          <t>Por hacer</t>
        </is>
      </c>
      <c r="K53" s="14" t="n"/>
    </row>
    <row r="54" ht="33.75" customHeight="1" s="40">
      <c r="A54" s="11" t="inlineStr">
        <is>
          <t>T-029</t>
        </is>
      </c>
      <c r="B54" s="15" t="inlineStr">
        <is>
          <t>MVP 2</t>
        </is>
      </c>
      <c r="C54" s="20" t="inlineStr">
        <is>
          <t>H-06 · Tabla de registros con gestión completa</t>
        </is>
      </c>
      <c r="D54" s="32" t="inlineStr">
        <is>
          <t>FE</t>
        </is>
      </c>
      <c r="E54" s="18" t="inlineStr">
        <is>
          <t>Búsqueda y orden en la tabla</t>
        </is>
      </c>
      <c r="F54" s="16" t="inlineStr">
        <is>
          <t>Input de búsqueda con debounce y orden clickeando el encabezado.</t>
        </is>
      </c>
      <c r="G54" s="16" t="inlineStr">
        <is>
          <t>Buscar filtra y el orden se invierte al segundo click.</t>
        </is>
      </c>
      <c r="H54" s="28" t="inlineStr">
        <is>
          <t>T-028</t>
        </is>
      </c>
      <c r="I54" s="17" t="inlineStr">
        <is>
          <t>S</t>
        </is>
      </c>
      <c r="J54" s="17" t="inlineStr">
        <is>
          <t>Por hacer</t>
        </is>
      </c>
      <c r="K54" s="16" t="n"/>
    </row>
    <row r="55" ht="33.75" customHeight="1" s="40">
      <c r="A55" s="22" t="inlineStr">
        <is>
          <t>T-030</t>
        </is>
      </c>
      <c r="B55" s="15" t="inlineStr">
        <is>
          <t>MVP 2</t>
        </is>
      </c>
      <c r="C55" s="25" t="inlineStr">
        <is>
          <t>H-06 · Tabla de registros con gestión completa</t>
        </is>
      </c>
      <c r="D55" s="32" t="inlineStr">
        <is>
          <t>FE</t>
        </is>
      </c>
      <c r="E55" s="23" t="inlineStr">
        <is>
          <t>Ficha de registro con editar y eliminar</t>
        </is>
      </c>
      <c r="F55" s="14" t="inlineStr">
        <is>
          <t>Panel lateral con todos los datos, edición reutilizando FormRenderer y eliminar con confirmación.</t>
        </is>
      </c>
      <c r="G55" s="14" t="inlineStr">
        <is>
          <t>Editar refleja el cambio en la tabla; eliminar pide confirmación.</t>
        </is>
      </c>
      <c r="H55" s="29" t="inlineStr">
        <is>
          <t>T-028, T-027</t>
        </is>
      </c>
      <c r="I55" s="12" t="inlineStr">
        <is>
          <t>M</t>
        </is>
      </c>
      <c r="J55" s="12" t="inlineStr">
        <is>
          <t>Por hacer</t>
        </is>
      </c>
      <c r="K55" s="14" t="n"/>
    </row>
    <row r="56" ht="33.75" customHeight="1" s="40">
      <c r="A56" s="11" t="inlineStr">
        <is>
          <t>T-105</t>
        </is>
      </c>
      <c r="B56" s="15" t="inlineStr">
        <is>
          <t>MVP 2</t>
        </is>
      </c>
      <c r="C56" s="20" t="inlineStr">
        <is>
          <t>H-06 · Tabla de registros con gestión completa</t>
        </is>
      </c>
      <c r="D56" s="32" t="inlineStr">
        <is>
          <t>FE</t>
        </is>
      </c>
      <c r="E56" s="18" t="inlineStr">
        <is>
          <t>Totales en la tabla</t>
        </is>
      </c>
      <c r="F56" s="16" t="inlineStr">
        <is>
          <t>Fila de totales con la suma de los campos numéricos y la cantidad de registros, respetando la búsqueda.</t>
        </is>
      </c>
      <c r="G56" s="16" t="inlineStr">
        <is>
          <t>Al buscar o filtrar, los totales se recalculan con lo visible.</t>
        </is>
      </c>
      <c r="H56" s="28" t="inlineStr">
        <is>
          <t>T-028</t>
        </is>
      </c>
      <c r="I56" s="17" t="inlineStr">
        <is>
          <t>S</t>
        </is>
      </c>
      <c r="J56" s="17" t="inlineStr">
        <is>
          <t>Por hacer</t>
        </is>
      </c>
      <c r="K56" s="16" t="n"/>
    </row>
    <row r="57" ht="46.5" customHeight="1" s="40">
      <c r="A57" s="22" t="inlineStr">
        <is>
          <t>T-033</t>
        </is>
      </c>
      <c r="B57" s="15" t="inlineStr">
        <is>
          <t>MVP 2</t>
        </is>
      </c>
      <c r="C57" s="25" t="inlineStr">
        <is>
          <t>H-08 · Interfaz accesible para personas mayores</t>
        </is>
      </c>
      <c r="D57" s="32" t="inlineStr">
        <is>
          <t>FE</t>
        </is>
      </c>
      <c r="E57" s="23" t="inlineStr">
        <is>
          <t>Layout general y navegación</t>
        </is>
      </c>
      <c r="F57" s="14" t="inlineStr">
        <is>
          <t>Shell de la app (barra inferior en celular, topbar), breadcrumbs y tokens del manual de marca con tipografía grande (base 18px) y botones amplios.</t>
        </is>
      </c>
      <c r="G57" s="14" t="inlineStr">
        <is>
          <t>Todas las pantallas del core usan el mismo layout y nombres de secciones.</t>
        </is>
      </c>
      <c r="H57" s="29" t="inlineStr">
        <is>
          <t>T-009</t>
        </is>
      </c>
      <c r="I57" s="12" t="inlineStr">
        <is>
          <t>M</t>
        </is>
      </c>
      <c r="J57" s="12" t="inlineStr">
        <is>
          <t>Por hacer</t>
        </is>
      </c>
      <c r="K57" s="14" t="n"/>
    </row>
    <row r="58" ht="33.75" customHeight="1" s="40">
      <c r="A58" s="11" t="inlineStr">
        <is>
          <t>T-034</t>
        </is>
      </c>
      <c r="B58" s="15" t="inlineStr">
        <is>
          <t>MVP 2</t>
        </is>
      </c>
      <c r="C58" s="20" t="inlineStr">
        <is>
          <t>H-08 · Interfaz accesible para personas mayores</t>
        </is>
      </c>
      <c r="D58" s="32" t="inlineStr">
        <is>
          <t>FE</t>
        </is>
      </c>
      <c r="E58" s="18" t="inlineStr">
        <is>
          <t>Componentes de vacío, carga y error</t>
        </is>
      </c>
      <c r="F58" s="16" t="inlineStr">
        <is>
          <t>Componentes reutilizables (skeleton, empty state con acción, error con reintentar) aplicados en todas las pantallas del core.</t>
        </is>
      </c>
      <c r="G58" s="16" t="inlineStr">
        <is>
          <t>Ninguna pantalla queda en blanco mientras carga o si falla la API.</t>
        </is>
      </c>
      <c r="H58" s="28" t="inlineStr">
        <is>
          <t>T-033</t>
        </is>
      </c>
      <c r="I58" s="17" t="inlineStr">
        <is>
          <t>S</t>
        </is>
      </c>
      <c r="J58" s="17" t="inlineStr">
        <is>
          <t>Por hacer</t>
        </is>
      </c>
      <c r="K58" s="16" t="n"/>
    </row>
    <row r="59" ht="33.75" customHeight="1" s="40">
      <c r="A59" s="22" t="inlineStr">
        <is>
          <t>T-035</t>
        </is>
      </c>
      <c r="B59" s="15" t="inlineStr">
        <is>
          <t>MVP 2</t>
        </is>
      </c>
      <c r="C59" s="25" t="inlineStr">
        <is>
          <t>H-08 · Interfaz accesible para personas mayores</t>
        </is>
      </c>
      <c r="D59" s="32" t="inlineStr">
        <is>
          <t>FE</t>
        </is>
      </c>
      <c r="E59" s="23" t="inlineStr">
        <is>
          <t>Responsive del flujo principal</t>
        </is>
      </c>
      <c r="F59" s="14" t="inlineStr">
        <is>
          <t>Adaptar subida de fotos, revisión, formulario y tabla (cards en móvil) a pantallas de 360px.</t>
        </is>
      </c>
      <c r="G59" s="14" t="inlineStr">
        <is>
          <t>El flujo completo funciona en 360px sin scroll horizontal.</t>
        </is>
      </c>
      <c r="H59" s="29" t="inlineStr">
        <is>
          <t>T-030, T-101</t>
        </is>
      </c>
      <c r="I59" s="12" t="inlineStr">
        <is>
          <t>M</t>
        </is>
      </c>
      <c r="J59" s="12" t="inlineStr">
        <is>
          <t>Por hacer</t>
        </is>
      </c>
      <c r="K59" s="14" t="n"/>
    </row>
    <row r="60" ht="46.5" customHeight="1" s="40">
      <c r="A60" s="11" t="inlineStr">
        <is>
          <t>T-056</t>
        </is>
      </c>
      <c r="B60" s="15" t="inlineStr">
        <is>
          <t>MVP 2</t>
        </is>
      </c>
      <c r="C60" s="20" t="inlineStr">
        <is>
          <t>H-08 · Interfaz accesible para personas mayores</t>
        </is>
      </c>
      <c r="D60" s="32" t="inlineStr">
        <is>
          <t>FE</t>
        </is>
      </c>
      <c r="E60" s="18" t="inlineStr">
        <is>
          <t>Accesibilidad para personas mayores</t>
        </is>
      </c>
      <c r="F60" s="16" t="inlineStr">
        <is>
          <t>Aplicar y auditar con axe/Lighthouse: texto ≥ 18px, botones ≥ 48px, contraste AA, labels, foco visible, navegación con teclado y textos sin tecnicismos.</t>
        </is>
      </c>
      <c r="G60" s="16" t="inlineStr">
        <is>
          <t>Lighthouse accesibilidad ≥ 90 en las pantallas del core.</t>
        </is>
      </c>
      <c r="H60" s="28" t="inlineStr">
        <is>
          <t>T-035</t>
        </is>
      </c>
      <c r="I60" s="17" t="inlineStr">
        <is>
          <t>M</t>
        </is>
      </c>
      <c r="J60" s="17" t="inlineStr">
        <is>
          <t>Por hacer</t>
        </is>
      </c>
      <c r="K60" s="16" t="n"/>
    </row>
    <row r="61" ht="33.75" customHeight="1" s="40">
      <c r="A61" s="22" t="inlineStr">
        <is>
          <t>T-108</t>
        </is>
      </c>
      <c r="B61" s="15" t="inlineStr">
        <is>
          <t>MVP 2</t>
        </is>
      </c>
      <c r="C61" s="25" t="inlineStr">
        <is>
          <t>H-08 · Interfaz accesible para personas mayores</t>
        </is>
      </c>
      <c r="D61" s="33" t="inlineStr">
        <is>
          <t>QA</t>
        </is>
      </c>
      <c r="E61" s="23" t="inlineStr">
        <is>
          <t>Prueba con personas mayores</t>
        </is>
      </c>
      <c r="F61" s="14" t="inlineStr">
        <is>
          <t>Sesión de prueba con 3-5 emprendedores mayores usando el flujo foto → revisión → consulta; registrar dónde se traban.</t>
        </is>
      </c>
      <c r="G61" s="14" t="inlineStr">
        <is>
          <t>Informe con hallazgos y mejoras priorizadas antes de cerrar el MVP 2.</t>
        </is>
      </c>
      <c r="H61" s="29" t="inlineStr">
        <is>
          <t>T-037</t>
        </is>
      </c>
      <c r="I61" s="12" t="inlineStr">
        <is>
          <t>M</t>
        </is>
      </c>
      <c r="J61" s="12" t="inlineStr">
        <is>
          <t>Por hacer</t>
        </is>
      </c>
      <c r="K61" s="14" t="n"/>
    </row>
    <row r="62" ht="33.75" customHeight="1" s="40">
      <c r="A62" s="11" t="inlineStr">
        <is>
          <t>T-036</t>
        </is>
      </c>
      <c r="B62" s="15" t="inlineStr">
        <is>
          <t>MVP 2</t>
        </is>
      </c>
      <c r="C62" s="20" t="inlineStr">
        <is>
          <t>H-09 · Despliegue y prueba del flujo principal</t>
        </is>
      </c>
      <c r="D62" s="27" t="inlineStr">
        <is>
          <t>Infra</t>
        </is>
      </c>
      <c r="E62" s="18" t="inlineStr">
        <is>
          <t>Deploy en entorno público</t>
        </is>
      </c>
      <c r="F62" s="16" t="inlineStr">
        <is>
          <t>Front, API y BD en un entorno accesible con HTTPS, variables de entorno y deploy automático desde main.</t>
        </is>
      </c>
      <c r="G62" s="16" t="inlineStr">
        <is>
          <t>URL pública funcionando; ningún secreto en el repo.</t>
        </is>
      </c>
      <c r="H62" s="28" t="inlineStr">
        <is>
          <t>T-003, T-002</t>
        </is>
      </c>
      <c r="I62" s="17" t="inlineStr">
        <is>
          <t>M</t>
        </is>
      </c>
      <c r="J62" s="17" t="inlineStr">
        <is>
          <t>Por hacer</t>
        </is>
      </c>
      <c r="K62" s="16" t="n"/>
    </row>
    <row r="63" ht="46.5" customHeight="1" s="40">
      <c r="A63" s="22" t="inlineStr">
        <is>
          <t>T-037</t>
        </is>
      </c>
      <c r="B63" s="15" t="inlineStr">
        <is>
          <t>MVP 2</t>
        </is>
      </c>
      <c r="C63" s="25" t="inlineStr">
        <is>
          <t>H-09 · Despliegue y prueba del flujo principal</t>
        </is>
      </c>
      <c r="D63" s="33" t="inlineStr">
        <is>
          <t>QA</t>
        </is>
      </c>
      <c r="E63" s="23" t="inlineStr">
        <is>
          <t>Test E2E del flujo principal</t>
        </is>
      </c>
      <c r="F63" s="14" t="inlineStr">
        <is>
          <t>Playwright/Cypress con la IA simulada (mock): registro → subir foto de ejemplo → revisar y corregir → confirmar → buscar el registro → editarlo.</t>
        </is>
      </c>
      <c r="G63" s="14" t="inlineStr">
        <is>
          <t>El test corre en CI y pasa.</t>
        </is>
      </c>
      <c r="H63" s="29" t="inlineStr">
        <is>
          <t>T-035, T-036, T-103</t>
        </is>
      </c>
      <c r="I63" s="12" t="inlineStr">
        <is>
          <t>M</t>
        </is>
      </c>
      <c r="J63" s="12" t="inlineStr">
        <is>
          <t>Por hacer</t>
        </is>
      </c>
      <c r="K63" s="14" t="n"/>
    </row>
    <row r="64" ht="46.5" customHeight="1" s="40">
      <c r="A64" s="11" t="inlineStr">
        <is>
          <t>T-038</t>
        </is>
      </c>
      <c r="B64" s="15" t="inlineStr">
        <is>
          <t>MVP 2</t>
        </is>
      </c>
      <c r="C64" s="20" t="inlineStr">
        <is>
          <t>H-09 · Despliegue y prueba del flujo principal</t>
        </is>
      </c>
      <c r="D64" s="33" t="inlineStr">
        <is>
          <t>QA</t>
        </is>
      </c>
      <c r="E64" s="18" t="inlineStr">
        <is>
          <t>Datos de demo para la venta</t>
        </is>
      </c>
      <c r="F64" s="16" t="inlineStr">
        <is>
          <t>Script que crea un negocio de ejemplo (ej. emprendimiento de velas) con registros cargados y 3-5 fotos de cuaderno de muestra para digitalizar en vivo.</t>
        </is>
      </c>
      <c r="G64" s="16" t="inlineStr">
        <is>
          <t>Un comando deja la cuenta demo y las fotos listas para presentar.</t>
        </is>
      </c>
      <c r="H64" s="28" t="inlineStr">
        <is>
          <t>T-014, T-103</t>
        </is>
      </c>
      <c r="I64" s="17" t="inlineStr">
        <is>
          <t>S</t>
        </is>
      </c>
      <c r="J64" s="17" t="inlineStr">
        <is>
          <t>Por hacer</t>
        </is>
      </c>
      <c r="K64" s="16" t="n"/>
    </row>
    <row r="65" ht="33.75" customHeight="1" s="40">
      <c r="A65" s="22" t="inlineStr">
        <is>
          <t>T-031</t>
        </is>
      </c>
      <c r="B65" s="34" t="inlineStr">
        <is>
          <t>MVP 3</t>
        </is>
      </c>
      <c r="C65" s="25" t="inlineStr">
        <is>
          <t>H-07 · Modo construir / modo usar</t>
        </is>
      </c>
      <c r="D65" s="32" t="inlineStr">
        <is>
          <t>FE</t>
        </is>
      </c>
      <c r="E65" s="23" t="inlineStr">
        <is>
          <t>Modo usar</t>
        </is>
      </c>
      <c r="F65" s="14" t="inlineStr">
        <is>
          <t>Vista de operación: menú por bloques, formulario de carga y tabla, sin herramientas de construcción.</t>
        </is>
      </c>
      <c r="G65" s="14" t="inlineStr">
        <is>
          <t>En modo usar no aparece ningún control de edición de estructura.</t>
        </is>
      </c>
      <c r="H65" s="29" t="inlineStr">
        <is>
          <t>T-030</t>
        </is>
      </c>
      <c r="I65" s="12" t="inlineStr">
        <is>
          <t>M</t>
        </is>
      </c>
      <c r="J65" s="12" t="inlineStr">
        <is>
          <t>Por hacer</t>
        </is>
      </c>
      <c r="K65" s="14" t="n"/>
    </row>
    <row r="66" ht="33.75" customHeight="1" s="40">
      <c r="A66" s="11" t="inlineStr">
        <is>
          <t>T-032</t>
        </is>
      </c>
      <c r="B66" s="34" t="inlineStr">
        <is>
          <t>MVP 3</t>
        </is>
      </c>
      <c r="C66" s="20" t="inlineStr">
        <is>
          <t>H-07 · Modo construir / modo usar</t>
        </is>
      </c>
      <c r="D66" s="32" t="inlineStr">
        <is>
          <t>FE</t>
        </is>
      </c>
      <c r="E66" s="18" t="inlineStr">
        <is>
          <t>Alternar construir/usar y vista previa</t>
        </is>
      </c>
      <c r="F66" s="16" t="inlineStr">
        <is>
          <t>Switch en el header del proyecto + vista previa del formulario dentro del constructor.</t>
        </is>
      </c>
      <c r="G66" s="16" t="inlineStr">
        <is>
          <t>Un cambio en el constructor se ve al pasar a modo usar sin recargar.</t>
        </is>
      </c>
      <c r="H66" s="28" t="inlineStr">
        <is>
          <t>T-031</t>
        </is>
      </c>
      <c r="I66" s="17" t="inlineStr">
        <is>
          <t>S</t>
        </is>
      </c>
      <c r="J66" s="17" t="inlineStr">
        <is>
          <t>Por hacer</t>
        </is>
      </c>
      <c r="K66" s="16" t="n"/>
    </row>
    <row r="67" ht="33.75" customHeight="1" s="40">
      <c r="A67" s="22" t="inlineStr">
        <is>
          <t>T-039</t>
        </is>
      </c>
      <c r="B67" s="34" t="inlineStr">
        <is>
          <t>MVP 3</t>
        </is>
      </c>
      <c r="C67" s="25" t="inlineStr">
        <is>
          <t>H-10 · Gestión de cuenta y negocio</t>
        </is>
      </c>
      <c r="D67" s="31" t="inlineStr">
        <is>
          <t>BE</t>
        </is>
      </c>
      <c r="E67" s="23" t="inlineStr">
        <is>
          <t>Recuperación de contraseña</t>
        </is>
      </c>
      <c r="F67" s="14" t="inlineStr">
        <is>
          <t>POST /auth/forgot (token temporal de un solo uso + email) y POST /auth/reset.</t>
        </is>
      </c>
      <c r="G67" s="14" t="inlineStr">
        <is>
          <t>El token vence y no se puede reutilizar.</t>
        </is>
      </c>
      <c r="H67" s="29" t="inlineStr">
        <is>
          <t>T-006</t>
        </is>
      </c>
      <c r="I67" s="12" t="inlineStr">
        <is>
          <t>M</t>
        </is>
      </c>
      <c r="J67" s="12" t="inlineStr">
        <is>
          <t>Por hacer</t>
        </is>
      </c>
      <c r="K67" s="14" t="n"/>
    </row>
    <row r="68" ht="33.75" customHeight="1" s="40">
      <c r="A68" s="11" t="inlineStr">
        <is>
          <t>T-040</t>
        </is>
      </c>
      <c r="B68" s="34" t="inlineStr">
        <is>
          <t>MVP 3</t>
        </is>
      </c>
      <c r="C68" s="20" t="inlineStr">
        <is>
          <t>H-10 · Gestión de cuenta y negocio</t>
        </is>
      </c>
      <c r="D68" s="32" t="inlineStr">
        <is>
          <t>FE</t>
        </is>
      </c>
      <c r="E68" s="18" t="inlineStr">
        <is>
          <t>Pantallas olvidé / restablecer contraseña</t>
        </is>
      </c>
      <c r="F68" s="16" t="inlineStr">
        <is>
          <t>Formulario para pedir el enlace y pantalla para la contraseña nueva.</t>
        </is>
      </c>
      <c r="G68" s="16" t="inlineStr">
        <is>
          <t>Flujo completo funciona desde el email.</t>
        </is>
      </c>
      <c r="H68" s="28" t="inlineStr">
        <is>
          <t>T-039</t>
        </is>
      </c>
      <c r="I68" s="17" t="inlineStr">
        <is>
          <t>S</t>
        </is>
      </c>
      <c r="J68" s="17" t="inlineStr">
        <is>
          <t>Por hacer</t>
        </is>
      </c>
      <c r="K68" s="16" t="n"/>
    </row>
    <row r="69" ht="33.75" customHeight="1" s="40">
      <c r="A69" s="22" t="inlineStr">
        <is>
          <t>T-041</t>
        </is>
      </c>
      <c r="B69" s="34" t="inlineStr">
        <is>
          <t>MVP 3</t>
        </is>
      </c>
      <c r="C69" s="25" t="inlineStr">
        <is>
          <t>H-10 · Gestión de cuenta y negocio</t>
        </is>
      </c>
      <c r="D69" s="37" t="inlineStr">
        <is>
          <t>Fullstack</t>
        </is>
      </c>
      <c r="E69" s="23" t="inlineStr">
        <is>
          <t>Configuración del negocio</t>
        </is>
      </c>
      <c r="F69" s="14" t="inlineStr">
        <is>
          <t>PATCH /business + pantalla para editar nombre y datos básicos.</t>
        </is>
      </c>
      <c r="G69" s="14" t="inlineStr">
        <is>
          <t>Solo el dueño puede editar; los cambios persisten.</t>
        </is>
      </c>
      <c r="H69" s="29" t="inlineStr">
        <is>
          <t>T-010</t>
        </is>
      </c>
      <c r="I69" s="12" t="inlineStr">
        <is>
          <t>S</t>
        </is>
      </c>
      <c r="J69" s="12" t="inlineStr">
        <is>
          <t>Por hacer</t>
        </is>
      </c>
      <c r="K69" s="14" t="n"/>
    </row>
    <row r="70" ht="33.75" customHeight="1" s="40">
      <c r="A70" s="11" t="inlineStr">
        <is>
          <t>T-042</t>
        </is>
      </c>
      <c r="B70" s="34" t="inlineStr">
        <is>
          <t>MVP 3</t>
        </is>
      </c>
      <c r="C70" s="20" t="inlineStr">
        <is>
          <t>H-11 · Plantillas y proyectos: vista previa y duplicado</t>
        </is>
      </c>
      <c r="D70" s="32" t="inlineStr">
        <is>
          <t>FE</t>
        </is>
      </c>
      <c r="E70" s="18" t="inlineStr">
        <is>
          <t>Vista previa de plantilla</t>
        </is>
      </c>
      <c r="F70" s="16" t="inlineStr">
        <is>
          <t>Modal que muestra bloques y campos de la plantilla antes de usarla.</t>
        </is>
      </c>
      <c r="G70" s="16" t="inlineStr">
        <is>
          <t>Se ve la estructura sin crear el proyecto.</t>
        </is>
      </c>
      <c r="H70" s="28" t="inlineStr">
        <is>
          <t>T-016</t>
        </is>
      </c>
      <c r="I70" s="17" t="inlineStr">
        <is>
          <t>S</t>
        </is>
      </c>
      <c r="J70" s="17" t="inlineStr">
        <is>
          <t>Por hacer</t>
        </is>
      </c>
      <c r="K70" s="16" t="n"/>
    </row>
    <row r="71" ht="33.75" customHeight="1" s="40">
      <c r="A71" s="22" t="inlineStr">
        <is>
          <t>T-043</t>
        </is>
      </c>
      <c r="B71" s="34" t="inlineStr">
        <is>
          <t>MVP 3</t>
        </is>
      </c>
      <c r="C71" s="25" t="inlineStr">
        <is>
          <t>H-11 · Plantillas y proyectos: vista previa y duplicado</t>
        </is>
      </c>
      <c r="D71" s="37" t="inlineStr">
        <is>
          <t>Fullstack</t>
        </is>
      </c>
      <c r="E71" s="23" t="inlineStr">
        <is>
          <t>Duplicar proyecto</t>
        </is>
      </c>
      <c r="F71" s="14" t="inlineStr">
        <is>
          <t>POST /projects/:id/duplicate (sin registros) + acción en el listado.</t>
        </is>
      </c>
      <c r="G71" s="14" t="inlineStr">
        <is>
          <t>La copia se renombra y no trae datos cargados.</t>
        </is>
      </c>
      <c r="H71" s="29" t="inlineStr">
        <is>
          <t>T-012</t>
        </is>
      </c>
      <c r="I71" s="12" t="inlineStr">
        <is>
          <t>S</t>
        </is>
      </c>
      <c r="J71" s="12" t="inlineStr">
        <is>
          <t>Por hacer</t>
        </is>
      </c>
      <c r="K71" s="14" t="n"/>
    </row>
    <row r="72" ht="33.75" customHeight="1" s="40">
      <c r="A72" s="11" t="inlineStr">
        <is>
          <t>T-044</t>
        </is>
      </c>
      <c r="B72" s="34" t="inlineStr">
        <is>
          <t>MVP 3</t>
        </is>
      </c>
      <c r="C72" s="20" t="inlineStr">
        <is>
          <t>H-12 · Cambios seguros en la estructura</t>
        </is>
      </c>
      <c r="D72" s="31" t="inlineStr">
        <is>
          <t>BE</t>
        </is>
      </c>
      <c r="E72" s="18" t="inlineStr">
        <is>
          <t>Impacto de cambios en campos</t>
        </is>
      </c>
      <c r="F72" s="16" t="inlineStr">
        <is>
          <t>Endpoint que informa cuántos registros tienen datos en un campo antes de borrarlo o cambiar su tipo.</t>
        </is>
      </c>
      <c r="G72" s="16" t="inlineStr">
        <is>
          <t>Devuelve la cantidad correcta de registros afectados.</t>
        </is>
      </c>
      <c r="H72" s="28" t="inlineStr">
        <is>
          <t>T-018, T-026</t>
        </is>
      </c>
      <c r="I72" s="17" t="inlineStr">
        <is>
          <t>S</t>
        </is>
      </c>
      <c r="J72" s="17" t="inlineStr">
        <is>
          <t>Por hacer</t>
        </is>
      </c>
      <c r="K72" s="16" t="n"/>
    </row>
    <row r="73" ht="33.75" customHeight="1" s="40">
      <c r="A73" s="22" t="inlineStr">
        <is>
          <t>T-045</t>
        </is>
      </c>
      <c r="B73" s="34" t="inlineStr">
        <is>
          <t>MVP 3</t>
        </is>
      </c>
      <c r="C73" s="25" t="inlineStr">
        <is>
          <t>H-12 · Cambios seguros en la estructura</t>
        </is>
      </c>
      <c r="D73" s="32" t="inlineStr">
        <is>
          <t>FE</t>
        </is>
      </c>
      <c r="E73" s="23" t="inlineStr">
        <is>
          <t>Advertencia ante cambios riesgosos</t>
        </is>
      </c>
      <c r="F73" s="14" t="inlineStr">
        <is>
          <t>Modal de confirmación que muestra el impacto antes de borrar o cambiar tipo de un campo.</t>
        </is>
      </c>
      <c r="G73" s="14" t="inlineStr">
        <is>
          <t>No se puede borrar un campo con datos sin confirmar.</t>
        </is>
      </c>
      <c r="H73" s="29" t="inlineStr">
        <is>
          <t>T-044</t>
        </is>
      </c>
      <c r="I73" s="12" t="inlineStr">
        <is>
          <t>S</t>
        </is>
      </c>
      <c r="J73" s="12" t="inlineStr">
        <is>
          <t>Por hacer</t>
        </is>
      </c>
      <c r="K73" s="14" t="n"/>
    </row>
    <row r="74" ht="33.75" customHeight="1" s="40">
      <c r="A74" s="11" t="inlineStr">
        <is>
          <t>T-046</t>
        </is>
      </c>
      <c r="B74" s="34" t="inlineStr">
        <is>
          <t>MVP 3</t>
        </is>
      </c>
      <c r="C74" s="20" t="inlineStr">
        <is>
          <t>H-12 · Cambios seguros en la estructura</t>
        </is>
      </c>
      <c r="D74" s="37" t="inlineStr">
        <is>
          <t>Fullstack</t>
        </is>
      </c>
      <c r="E74" s="18" t="inlineStr">
        <is>
          <t>Reordenar campos</t>
        </is>
      </c>
      <c r="F74" s="16" t="inlineStr">
        <is>
          <t>PATCH de posiciones + drag &amp; drop en el constructor.</t>
        </is>
      </c>
      <c r="G74" s="16" t="inlineStr">
        <is>
          <t>El orden se conserva al volver a entrar y se refleja en formulario y tabla.</t>
        </is>
      </c>
      <c r="H74" s="28" t="inlineStr">
        <is>
          <t>T-021</t>
        </is>
      </c>
      <c r="I74" s="17" t="inlineStr">
        <is>
          <t>M</t>
        </is>
      </c>
      <c r="J74" s="17" t="inlineStr">
        <is>
          <t>Por hacer</t>
        </is>
      </c>
      <c r="K74" s="16" t="n"/>
    </row>
    <row r="75" ht="33.75" customHeight="1" s="40">
      <c r="A75" s="22" t="inlineStr">
        <is>
          <t>T-047</t>
        </is>
      </c>
      <c r="B75" s="34" t="inlineStr">
        <is>
          <t>MVP 3</t>
        </is>
      </c>
      <c r="C75" s="25" t="inlineStr">
        <is>
          <t>H-13 · Borrador y versión publicada</t>
        </is>
      </c>
      <c r="D75" s="30" t="inlineStr">
        <is>
          <t>BD</t>
        </is>
      </c>
      <c r="E75" s="23" t="inlineStr">
        <is>
          <t>Versionado de estructura (borrador/publicado)</t>
        </is>
      </c>
      <c r="F75" s="14" t="inlineStr">
        <is>
          <t>Separar la definición de bloques/campos en versión borrador y publicada.</t>
        </is>
      </c>
      <c r="G75" s="14" t="inlineStr">
        <is>
          <t>El modo usar lee siempre la versión publicada.</t>
        </is>
      </c>
      <c r="H75" s="29" t="inlineStr">
        <is>
          <t>T-004</t>
        </is>
      </c>
      <c r="I75" s="12" t="inlineStr">
        <is>
          <t>L</t>
        </is>
      </c>
      <c r="J75" s="12" t="inlineStr">
        <is>
          <t>Por hacer</t>
        </is>
      </c>
      <c r="K75" s="14" t="n"/>
    </row>
    <row r="76" ht="33.75" customHeight="1" s="40">
      <c r="A76" s="11" t="inlineStr">
        <is>
          <t>T-048</t>
        </is>
      </c>
      <c r="B76" s="34" t="inlineStr">
        <is>
          <t>MVP 3</t>
        </is>
      </c>
      <c r="C76" s="20" t="inlineStr">
        <is>
          <t>H-13 · Borrador y versión publicada</t>
        </is>
      </c>
      <c r="D76" s="37" t="inlineStr">
        <is>
          <t>Fullstack</t>
        </is>
      </c>
      <c r="E76" s="18" t="inlineStr">
        <is>
          <t>Publicar cambios</t>
        </is>
      </c>
      <c r="F76" s="16" t="inlineStr">
        <is>
          <t>POST /projects/:id/publish + indicador 'cambios sin publicar' y botón Publicar.</t>
        </is>
      </c>
      <c r="G76" s="16" t="inlineStr">
        <is>
          <t>Los cambios del borrador no se ven en modo usar hasta publicar.</t>
        </is>
      </c>
      <c r="H76" s="28" t="inlineStr">
        <is>
          <t>T-047, T-032</t>
        </is>
      </c>
      <c r="I76" s="17" t="inlineStr">
        <is>
          <t>M</t>
        </is>
      </c>
      <c r="J76" s="17" t="inlineStr">
        <is>
          <t>Por hacer</t>
        </is>
      </c>
      <c r="K76" s="16" t="n"/>
    </row>
    <row r="77" ht="33.75" customHeight="1" s="40">
      <c r="A77" s="22" t="inlineStr">
        <is>
          <t>T-049</t>
        </is>
      </c>
      <c r="B77" s="34" t="inlineStr">
        <is>
          <t>MVP 3</t>
        </is>
      </c>
      <c r="C77" s="25" t="inlineStr">
        <is>
          <t>H-14 · Personalización de columnas (computadora y celular)</t>
        </is>
      </c>
      <c r="D77" s="37" t="inlineStr">
        <is>
          <t>Fullstack</t>
        </is>
      </c>
      <c r="E77" s="23" t="inlineStr">
        <is>
          <t>Columnas visibles por dispositivo</t>
        </is>
      </c>
      <c r="F77" s="14" t="inlineStr">
        <is>
          <t>Guardar preferencia de columnas por bloque y por dispositivo + selector en la tabla.</t>
        </is>
      </c>
      <c r="G77" s="14" t="inlineStr">
        <is>
          <t>Ocultar columnas en celular no afecta la vista de computadora.</t>
        </is>
      </c>
      <c r="H77" s="29" t="inlineStr">
        <is>
          <t>T-028</t>
        </is>
      </c>
      <c r="I77" s="12" t="inlineStr">
        <is>
          <t>M</t>
        </is>
      </c>
      <c r="J77" s="12" t="inlineStr">
        <is>
          <t>Por hacer</t>
        </is>
      </c>
      <c r="K77" s="14" t="n"/>
    </row>
    <row r="78" ht="33.75" customHeight="1" s="40">
      <c r="A78" s="11" t="inlineStr">
        <is>
          <t>T-054</t>
        </is>
      </c>
      <c r="B78" s="34" t="inlineStr">
        <is>
          <t>MVP 3</t>
        </is>
      </c>
      <c r="C78" s="20" t="inlineStr">
        <is>
          <t>H-16 · Panel de indicadores y gráficos básicos</t>
        </is>
      </c>
      <c r="D78" s="31" t="inlineStr">
        <is>
          <t>BE</t>
        </is>
      </c>
      <c r="E78" s="18" t="inlineStr">
        <is>
          <t>Endpoint de indicadores</t>
        </is>
      </c>
      <c r="F78" s="16" t="inlineStr">
        <is>
          <t>Conteo de registros por bloque, por fecha y por valor de campo tipo opción.</t>
        </is>
      </c>
      <c r="G78" s="16" t="inlineStr">
        <is>
          <t>Los números coinciden con los datos cargados.</t>
        </is>
      </c>
      <c r="H78" s="28" t="inlineStr">
        <is>
          <t>T-026</t>
        </is>
      </c>
      <c r="I78" s="17" t="inlineStr">
        <is>
          <t>S</t>
        </is>
      </c>
      <c r="J78" s="17" t="inlineStr">
        <is>
          <t>Por hacer</t>
        </is>
      </c>
      <c r="K78" s="16" t="n"/>
    </row>
    <row r="79" ht="33.75" customHeight="1" s="40">
      <c r="A79" s="22" t="inlineStr">
        <is>
          <t>T-055</t>
        </is>
      </c>
      <c r="B79" s="34" t="inlineStr">
        <is>
          <t>MVP 3</t>
        </is>
      </c>
      <c r="C79" s="25" t="inlineStr">
        <is>
          <t>H-16 · Panel de indicadores y gráficos básicos</t>
        </is>
      </c>
      <c r="D79" s="32" t="inlineStr">
        <is>
          <t>FE</t>
        </is>
      </c>
      <c r="E79" s="23" t="inlineStr">
        <is>
          <t>Panel de indicadores y gráficos</t>
        </is>
      </c>
      <c r="F79" s="14" t="inlineStr">
        <is>
          <t>Tarjetas de totales + gráfico de barras (por opción) y de línea (por fecha).</t>
        </is>
      </c>
      <c r="G79" s="14" t="inlineStr">
        <is>
          <t>Con datos muestra gráficos; sin datos muestra aviso.</t>
        </is>
      </c>
      <c r="H79" s="29" t="inlineStr">
        <is>
          <t>T-054</t>
        </is>
      </c>
      <c r="I79" s="12" t="inlineStr">
        <is>
          <t>M</t>
        </is>
      </c>
      <c r="J79" s="12" t="inlineStr">
        <is>
          <t>Por hacer</t>
        </is>
      </c>
      <c r="K79" s="14" t="n"/>
    </row>
    <row r="80" ht="33.75" customHeight="1" s="40">
      <c r="A80" s="11" t="inlineStr">
        <is>
          <t>T-057</t>
        </is>
      </c>
      <c r="B80" s="34" t="inlineStr">
        <is>
          <t>MVP 3</t>
        </is>
      </c>
      <c r="C80" s="20" t="inlineStr">
        <is>
          <t>H-17 · Tutorial inicial y ayuda</t>
        </is>
      </c>
      <c r="D80" s="32" t="inlineStr">
        <is>
          <t>FE</t>
        </is>
      </c>
      <c r="E80" s="18" t="inlineStr">
        <is>
          <t>Tutorial inicial</t>
        </is>
      </c>
      <c r="F80" s="16" t="inlineStr">
        <is>
          <t>Recorrido guiado saltable: subir foto → revisar → consultar.</t>
        </is>
      </c>
      <c r="G80" s="16" t="inlineStr">
        <is>
          <t>Aparece solo la primera vez y se puede volver a abrir desde ayuda.</t>
        </is>
      </c>
      <c r="H80" s="28" t="inlineStr">
        <is>
          <t>T-035</t>
        </is>
      </c>
      <c r="I80" s="17" t="inlineStr">
        <is>
          <t>M</t>
        </is>
      </c>
      <c r="J80" s="17" t="inlineStr">
        <is>
          <t>Por hacer</t>
        </is>
      </c>
      <c r="K80" s="16" t="n"/>
    </row>
    <row r="81" ht="33.75" customHeight="1" s="40">
      <c r="A81" s="22" t="inlineStr">
        <is>
          <t>T-058</t>
        </is>
      </c>
      <c r="B81" s="34" t="inlineStr">
        <is>
          <t>MVP 3</t>
        </is>
      </c>
      <c r="C81" s="25" t="inlineStr">
        <is>
          <t>H-18 · Respaldos y monitoreo de errores</t>
        </is>
      </c>
      <c r="D81" s="27" t="inlineStr">
        <is>
          <t>Infra</t>
        </is>
      </c>
      <c r="E81" s="23" t="inlineStr">
        <is>
          <t>Backups automáticos de la BD</t>
        </is>
      </c>
      <c r="F81" s="14" t="inlineStr">
        <is>
          <t>Backup diario con retención y prueba documentada de restauración.</t>
        </is>
      </c>
      <c r="G81" s="14" t="inlineStr">
        <is>
          <t>Se restauró un backup en un entorno de prueba con éxito.</t>
        </is>
      </c>
      <c r="H81" s="29" t="inlineStr">
        <is>
          <t>T-036</t>
        </is>
      </c>
      <c r="I81" s="12" t="inlineStr">
        <is>
          <t>S</t>
        </is>
      </c>
      <c r="J81" s="12" t="inlineStr">
        <is>
          <t>Por hacer</t>
        </is>
      </c>
      <c r="K81" s="14" t="n"/>
    </row>
    <row r="82" ht="33.75" customHeight="1" s="40">
      <c r="A82" s="11" t="inlineStr">
        <is>
          <t>T-059</t>
        </is>
      </c>
      <c r="B82" s="34" t="inlineStr">
        <is>
          <t>MVP 3</t>
        </is>
      </c>
      <c r="C82" s="20" t="inlineStr">
        <is>
          <t>H-18 · Respaldos y monitoreo de errores</t>
        </is>
      </c>
      <c r="D82" s="27" t="inlineStr">
        <is>
          <t>Infra</t>
        </is>
      </c>
      <c r="E82" s="18" t="inlineStr">
        <is>
          <t>Monitoreo de errores</t>
        </is>
      </c>
      <c r="F82" s="16" t="inlineStr">
        <is>
          <t>Integrar Sentry (o similar) en front y API, filtrando contraseñas y datos sensibles.</t>
        </is>
      </c>
      <c r="G82" s="16" t="inlineStr">
        <is>
          <t>Un error forzado aparece en el panel sin datos sensibles.</t>
        </is>
      </c>
      <c r="H82" s="28" t="inlineStr">
        <is>
          <t>T-036</t>
        </is>
      </c>
      <c r="I82" s="17" t="inlineStr">
        <is>
          <t>S</t>
        </is>
      </c>
      <c r="J82" s="17" t="inlineStr">
        <is>
          <t>Por hacer</t>
        </is>
      </c>
      <c r="K82" s="16" t="n"/>
    </row>
    <row r="83" ht="33.75" customHeight="1" s="40">
      <c r="A83" s="22" t="inlineStr">
        <is>
          <t>T-050</t>
        </is>
      </c>
      <c r="B83" s="36" t="inlineStr">
        <is>
          <t>MVP 4</t>
        </is>
      </c>
      <c r="C83" s="25" t="inlineStr">
        <is>
          <t>H-15 · Importar y exportar datos (CSV / planilla)</t>
        </is>
      </c>
      <c r="D83" s="31" t="inlineStr">
        <is>
          <t>BE</t>
        </is>
      </c>
      <c r="E83" s="23" t="inlineStr">
        <is>
          <t>Exportar CSV</t>
        </is>
      </c>
      <c r="F83" s="14" t="inlineStr">
        <is>
          <t>GET /blocks/:id/records/export con los filtros activos.</t>
        </is>
      </c>
      <c r="G83" s="14" t="inlineStr">
        <is>
          <t>El CSV abre bien en Excel (UTF-8 con BOM) y respeta filtros.</t>
        </is>
      </c>
      <c r="H83" s="29" t="inlineStr">
        <is>
          <t>T-026</t>
        </is>
      </c>
      <c r="I83" s="12" t="inlineStr">
        <is>
          <t>S</t>
        </is>
      </c>
      <c r="J83" s="12" t="inlineStr">
        <is>
          <t>Por hacer</t>
        </is>
      </c>
      <c r="K83" s="14" t="n"/>
    </row>
    <row r="84" ht="33.75" customHeight="1" s="40">
      <c r="A84" s="11" t="inlineStr">
        <is>
          <t>T-051</t>
        </is>
      </c>
      <c r="B84" s="36" t="inlineStr">
        <is>
          <t>MVP 4</t>
        </is>
      </c>
      <c r="C84" s="20" t="inlineStr">
        <is>
          <t>H-15 · Importar y exportar datos (CSV / planilla)</t>
        </is>
      </c>
      <c r="D84" s="31" t="inlineStr">
        <is>
          <t>BE</t>
        </is>
      </c>
      <c r="E84" s="18" t="inlineStr">
        <is>
          <t>Importar CSV/XLSX: lectura y vista previa</t>
        </is>
      </c>
      <c r="F84" s="16" t="inlineStr">
        <is>
          <t>Subida de archivo, lectura de encabezados y primeras filas.</t>
        </is>
      </c>
      <c r="G84" s="16" t="inlineStr">
        <is>
          <t>Devuelve columnas y muestra de datos sin guardar nada.</t>
        </is>
      </c>
      <c r="H84" s="28" t="inlineStr">
        <is>
          <t>T-023</t>
        </is>
      </c>
      <c r="I84" s="17" t="inlineStr">
        <is>
          <t>M</t>
        </is>
      </c>
      <c r="J84" s="17" t="inlineStr">
        <is>
          <t>Por hacer</t>
        </is>
      </c>
      <c r="K84" s="16" t="n"/>
    </row>
    <row r="85" ht="33.75" customHeight="1" s="40">
      <c r="A85" s="22" t="inlineStr">
        <is>
          <t>T-052</t>
        </is>
      </c>
      <c r="B85" s="36" t="inlineStr">
        <is>
          <t>MVP 4</t>
        </is>
      </c>
      <c r="C85" s="25" t="inlineStr">
        <is>
          <t>H-15 · Importar y exportar datos (CSV / planilla)</t>
        </is>
      </c>
      <c r="D85" s="32" t="inlineStr">
        <is>
          <t>FE</t>
        </is>
      </c>
      <c r="E85" s="23" t="inlineStr">
        <is>
          <t>Asistente de importación</t>
        </is>
      </c>
      <c r="F85" s="14" t="inlineStr">
        <is>
          <t>Wizard: subir archivo → mapear columnas a campos → ver errores → confirmar.</t>
        </is>
      </c>
      <c r="G85" s="14" t="inlineStr">
        <is>
          <t>El usuario puede ignorar columnas y ver qué filas fallan.</t>
        </is>
      </c>
      <c r="H85" s="29" t="inlineStr">
        <is>
          <t>T-051</t>
        </is>
      </c>
      <c r="I85" s="12" t="inlineStr">
        <is>
          <t>M</t>
        </is>
      </c>
      <c r="J85" s="12" t="inlineStr">
        <is>
          <t>Por hacer</t>
        </is>
      </c>
      <c r="K85" s="14" t="n"/>
    </row>
    <row r="86" ht="33.75" customHeight="1" s="40">
      <c r="A86" s="11" t="inlineStr">
        <is>
          <t>T-053</t>
        </is>
      </c>
      <c r="B86" s="36" t="inlineStr">
        <is>
          <t>MVP 4</t>
        </is>
      </c>
      <c r="C86" s="20" t="inlineStr">
        <is>
          <t>H-15 · Importar y exportar datos (CSV / planilla)</t>
        </is>
      </c>
      <c r="D86" s="31" t="inlineStr">
        <is>
          <t>BE</t>
        </is>
      </c>
      <c r="E86" s="18" t="inlineStr">
        <is>
          <t>Ejecutar importación con validación</t>
        </is>
      </c>
      <c r="F86" s="16" t="inlineStr">
        <is>
          <t>Importa filas usando el validador y devuelve reporte de filas con error.</t>
        </is>
      </c>
      <c r="G86" s="16" t="inlineStr">
        <is>
          <t>Filas inválidas no se importan y se informan con número de fila y motivo.</t>
        </is>
      </c>
      <c r="H86" s="28" t="inlineStr">
        <is>
          <t>T-051, T-022</t>
        </is>
      </c>
      <c r="I86" s="17" t="inlineStr">
        <is>
          <t>M</t>
        </is>
      </c>
      <c r="J86" s="17" t="inlineStr">
        <is>
          <t>Por hacer</t>
        </is>
      </c>
      <c r="K86" s="16" t="n"/>
    </row>
    <row r="87" ht="33.75" customHeight="1" s="40">
      <c r="A87" s="22" t="inlineStr">
        <is>
          <t>T-060</t>
        </is>
      </c>
      <c r="B87" s="36" t="inlineStr">
        <is>
          <t>MVP 4</t>
        </is>
      </c>
      <c r="C87" s="25" t="inlineStr">
        <is>
          <t>H-19 · Equipos: espacios, roles e invitaciones</t>
        </is>
      </c>
      <c r="D87" s="30" t="inlineStr">
        <is>
          <t>BD</t>
        </is>
      </c>
      <c r="E87" s="23" t="inlineStr">
        <is>
          <t>Membresías y roles</t>
        </is>
      </c>
      <c r="F87" s="14" t="inlineStr">
        <is>
          <t>Tabla memberships (user, business, role: dueño / editor / operador).</t>
        </is>
      </c>
      <c r="G87" s="14" t="inlineStr">
        <is>
          <t>Un usuario puede pertenecer a varios negocios con roles distintos.</t>
        </is>
      </c>
      <c r="H87" s="29" t="inlineStr">
        <is>
          <t>T-004</t>
        </is>
      </c>
      <c r="I87" s="12" t="inlineStr">
        <is>
          <t>M</t>
        </is>
      </c>
      <c r="J87" s="12" t="inlineStr">
        <is>
          <t>Por hacer</t>
        </is>
      </c>
      <c r="K87" s="14" t="n"/>
    </row>
    <row r="88" ht="33.75" customHeight="1" s="40">
      <c r="A88" s="11" t="inlineStr">
        <is>
          <t>T-061</t>
        </is>
      </c>
      <c r="B88" s="36" t="inlineStr">
        <is>
          <t>MVP 4</t>
        </is>
      </c>
      <c r="C88" s="20" t="inlineStr">
        <is>
          <t>H-19 · Equipos: espacios, roles e invitaciones</t>
        </is>
      </c>
      <c r="D88" s="37" t="inlineStr">
        <is>
          <t>Fullstack</t>
        </is>
      </c>
      <c r="E88" s="18" t="inlineStr">
        <is>
          <t>Cambiar de negocio</t>
        </is>
      </c>
      <c r="F88" s="16" t="inlineStr">
        <is>
          <t>Selector de negocio activo en el header; la sesión cambia de scope.</t>
        </is>
      </c>
      <c r="G88" s="16" t="inlineStr">
        <is>
          <t>Los datos mostrados siempre son del negocio seleccionado.</t>
        </is>
      </c>
      <c r="H88" s="28" t="inlineStr">
        <is>
          <t>T-060, T-010</t>
        </is>
      </c>
      <c r="I88" s="17" t="inlineStr">
        <is>
          <t>S</t>
        </is>
      </c>
      <c r="J88" s="17" t="inlineStr">
        <is>
          <t>Por hacer</t>
        </is>
      </c>
      <c r="K88" s="16" t="n"/>
    </row>
    <row r="89" ht="33.75" customHeight="1" s="40">
      <c r="A89" s="22" t="inlineStr">
        <is>
          <t>T-062</t>
        </is>
      </c>
      <c r="B89" s="36" t="inlineStr">
        <is>
          <t>MVP 4</t>
        </is>
      </c>
      <c r="C89" s="25" t="inlineStr">
        <is>
          <t>H-19 · Equipos: espacios, roles e invitaciones</t>
        </is>
      </c>
      <c r="D89" s="31" t="inlineStr">
        <is>
          <t>BE</t>
        </is>
      </c>
      <c r="E89" s="23" t="inlineStr">
        <is>
          <t>Permisos por rol</t>
        </is>
      </c>
      <c r="F89" s="14" t="inlineStr">
        <is>
          <t>Guards por rol: solo dueño/editor construyen; operador solo carga y consulta.</t>
        </is>
      </c>
      <c r="G89" s="14" t="inlineStr">
        <is>
          <t>Un operador recibe 403 al intentar modificar la estructura.</t>
        </is>
      </c>
      <c r="H89" s="29" t="inlineStr">
        <is>
          <t>T-060</t>
        </is>
      </c>
      <c r="I89" s="12" t="inlineStr">
        <is>
          <t>M</t>
        </is>
      </c>
      <c r="J89" s="12" t="inlineStr">
        <is>
          <t>Por hacer</t>
        </is>
      </c>
      <c r="K89" s="14" t="n"/>
    </row>
    <row r="90" ht="33.75" customHeight="1" s="40">
      <c r="A90" s="11" t="inlineStr">
        <is>
          <t>T-063</t>
        </is>
      </c>
      <c r="B90" s="36" t="inlineStr">
        <is>
          <t>MVP 4</t>
        </is>
      </c>
      <c r="C90" s="20" t="inlineStr">
        <is>
          <t>H-19 · Equipos: espacios, roles e invitaciones</t>
        </is>
      </c>
      <c r="D90" s="37" t="inlineStr">
        <is>
          <t>Fullstack</t>
        </is>
      </c>
      <c r="E90" s="18" t="inlineStr">
        <is>
          <t>Invitar colaboradores</t>
        </is>
      </c>
      <c r="F90" s="16" t="inlineStr">
        <is>
          <t>Invitación por email con token + pantalla de miembros para asignar rol o quitar acceso.</t>
        </is>
      </c>
      <c r="G90" s="16" t="inlineStr">
        <is>
          <t>Solo el dueño invita; el invitado entra al negocio con el rol asignado.</t>
        </is>
      </c>
      <c r="H90" s="28" t="inlineStr">
        <is>
          <t>T-062</t>
        </is>
      </c>
      <c r="I90" s="17" t="inlineStr">
        <is>
          <t>M</t>
        </is>
      </c>
      <c r="J90" s="17" t="inlineStr">
        <is>
          <t>Por hacer</t>
        </is>
      </c>
      <c r="K90" s="16" t="n"/>
    </row>
    <row r="91" ht="33.75" customHeight="1" s="40">
      <c r="A91" s="22" t="inlineStr">
        <is>
          <t>T-064</t>
        </is>
      </c>
      <c r="B91" s="36" t="inlineStr">
        <is>
          <t>MVP 4</t>
        </is>
      </c>
      <c r="C91" s="25" t="inlineStr">
        <is>
          <t>H-19 · Equipos: espacios, roles e invitaciones</t>
        </is>
      </c>
      <c r="D91" s="37" t="inlineStr">
        <is>
          <t>Fullstack</t>
        </is>
      </c>
      <c r="E91" s="23" t="inlineStr">
        <is>
          <t>Enlace de acceso al sistema</t>
        </is>
      </c>
      <c r="F91" s="14" t="inlineStr">
        <is>
          <t>URL propia por proyecto que lleva al modo usar respetando permisos.</t>
        </is>
      </c>
      <c r="G91" s="14" t="inlineStr">
        <is>
          <t>Sin permiso, el enlace pide login o muestra acceso denegado.</t>
        </is>
      </c>
      <c r="H91" s="29" t="inlineStr">
        <is>
          <t>T-062</t>
        </is>
      </c>
      <c r="I91" s="12" t="inlineStr">
        <is>
          <t>S</t>
        </is>
      </c>
      <c r="J91" s="12" t="inlineStr">
        <is>
          <t>Por hacer</t>
        </is>
      </c>
      <c r="K91" s="14" t="n"/>
    </row>
    <row r="92" ht="33.75" customHeight="1" s="40">
      <c r="A92" s="11" t="inlineStr">
        <is>
          <t>T-065</t>
        </is>
      </c>
      <c r="B92" s="36" t="inlineStr">
        <is>
          <t>MVP 4</t>
        </is>
      </c>
      <c r="C92" s="20" t="inlineStr">
        <is>
          <t>H-19 · Equipos: espacios, roles e invitaciones</t>
        </is>
      </c>
      <c r="D92" s="37" t="inlineStr">
        <is>
          <t>Fullstack</t>
        </is>
      </c>
      <c r="E92" s="18" t="inlineStr">
        <is>
          <t>Registro de auditoría</t>
        </is>
      </c>
      <c r="F92" s="16" t="inlineStr">
        <is>
          <t>Middleware que registra quién, cuándo y qué cambió + vista de actividad.</t>
        </is>
      </c>
      <c r="G92" s="16" t="inlineStr">
        <is>
          <t>Cada alta, edición o baja queda registrada con usuario y fecha.</t>
        </is>
      </c>
      <c r="H92" s="28" t="inlineStr">
        <is>
          <t>T-062</t>
        </is>
      </c>
      <c r="I92" s="17" t="inlineStr">
        <is>
          <t>M</t>
        </is>
      </c>
      <c r="J92" s="17" t="inlineStr">
        <is>
          <t>Por hacer</t>
        </is>
      </c>
      <c r="K92" s="16" t="n"/>
    </row>
    <row r="93" ht="33.75" customHeight="1" s="40">
      <c r="A93" s="22" t="inlineStr">
        <is>
          <t>T-066</t>
        </is>
      </c>
      <c r="B93" s="36" t="inlineStr">
        <is>
          <t>MVP 4</t>
        </is>
      </c>
      <c r="C93" s="25" t="inlineStr">
        <is>
          <t>H-20 · Planes, prueba premium y control por plan</t>
        </is>
      </c>
      <c r="D93" s="30" t="inlineStr">
        <is>
          <t>BD</t>
        </is>
      </c>
      <c r="E93" s="23" t="inlineStr">
        <is>
          <t>Planes y suscripciones</t>
        </is>
      </c>
      <c r="F93" s="14" t="inlineStr">
        <is>
          <t>Tablas plans, subscriptions y límites por plan (proyectos, registros, funciones).</t>
        </is>
      </c>
      <c r="G93" s="14" t="inlineStr">
        <is>
          <t>Cada negocio tiene un plan asignado (gratuito por defecto).</t>
        </is>
      </c>
      <c r="H93" s="29" t="inlineStr">
        <is>
          <t>T-004</t>
        </is>
      </c>
      <c r="I93" s="12" t="inlineStr">
        <is>
          <t>M</t>
        </is>
      </c>
      <c r="J93" s="12" t="inlineStr">
        <is>
          <t>Por hacer</t>
        </is>
      </c>
      <c r="K93" s="14" t="n"/>
    </row>
    <row r="94" ht="33.75" customHeight="1" s="40">
      <c r="A94" s="11" t="inlineStr">
        <is>
          <t>T-067</t>
        </is>
      </c>
      <c r="B94" s="36" t="inlineStr">
        <is>
          <t>MVP 4</t>
        </is>
      </c>
      <c r="C94" s="20" t="inlineStr">
        <is>
          <t>H-20 · Planes, prueba premium y control por plan</t>
        </is>
      </c>
      <c r="D94" s="31" t="inlineStr">
        <is>
          <t>BE</t>
        </is>
      </c>
      <c r="E94" s="18" t="inlineStr">
        <is>
          <t>Control de funciones por plan</t>
        </is>
      </c>
      <c r="F94" s="16" t="inlineStr">
        <is>
          <t>Middleware/feature flags que bloquean funciones premium y límites superados.</t>
        </is>
      </c>
      <c r="G94" s="16" t="inlineStr">
        <is>
          <t>Una función premium sin plan devuelve 402/403 con mensaje claro.</t>
        </is>
      </c>
      <c r="H94" s="28" t="inlineStr">
        <is>
          <t>T-066</t>
        </is>
      </c>
      <c r="I94" s="17" t="inlineStr">
        <is>
          <t>M</t>
        </is>
      </c>
      <c r="J94" s="17" t="inlineStr">
        <is>
          <t>Por hacer</t>
        </is>
      </c>
      <c r="K94" s="16" t="n"/>
    </row>
    <row r="95" ht="33.75" customHeight="1" s="40">
      <c r="A95" s="22" t="inlineStr">
        <is>
          <t>T-068</t>
        </is>
      </c>
      <c r="B95" s="36" t="inlineStr">
        <is>
          <t>MVP 4</t>
        </is>
      </c>
      <c r="C95" s="25" t="inlineStr">
        <is>
          <t>H-20 · Planes, prueba premium y control por plan</t>
        </is>
      </c>
      <c r="D95" s="31" t="inlineStr">
        <is>
          <t>BE</t>
        </is>
      </c>
      <c r="E95" s="23" t="inlineStr">
        <is>
          <t>Prueba premium de 7 días</t>
        </is>
      </c>
      <c r="F95" s="14" t="inlineStr">
        <is>
          <t>Inicio de prueba, fecha de fin y job que la expira.</t>
        </is>
      </c>
      <c r="G95" s="14" t="inlineStr">
        <is>
          <t>Al día 8 las funciones premium se deshabilitan solas.</t>
        </is>
      </c>
      <c r="H95" s="29" t="inlineStr">
        <is>
          <t>T-067</t>
        </is>
      </c>
      <c r="I95" s="12" t="inlineStr">
        <is>
          <t>S</t>
        </is>
      </c>
      <c r="J95" s="12" t="inlineStr">
        <is>
          <t>Por hacer</t>
        </is>
      </c>
      <c r="K95" s="14" t="n"/>
    </row>
    <row r="96" ht="33.75" customHeight="1" s="40">
      <c r="A96" s="11" t="inlineStr">
        <is>
          <t>T-069</t>
        </is>
      </c>
      <c r="B96" s="36" t="inlineStr">
        <is>
          <t>MVP 4</t>
        </is>
      </c>
      <c r="C96" s="20" t="inlineStr">
        <is>
          <t>H-20 · Planes, prueba premium y control por plan</t>
        </is>
      </c>
      <c r="D96" s="32" t="inlineStr">
        <is>
          <t>FE</t>
        </is>
      </c>
      <c r="E96" s="18" t="inlineStr">
        <is>
          <t>Página de planes y upgrade</t>
        </is>
      </c>
      <c r="F96" s="16" t="inlineStr">
        <is>
          <t>Comparativa gratuito/premium, estado del plan y botón de prueba.</t>
        </is>
      </c>
      <c r="G96" s="16" t="inlineStr">
        <is>
          <t>El usuario ve qué incluye cada plan y su estado actual.</t>
        </is>
      </c>
      <c r="H96" s="28" t="inlineStr">
        <is>
          <t>T-068</t>
        </is>
      </c>
      <c r="I96" s="17" t="inlineStr">
        <is>
          <t>S</t>
        </is>
      </c>
      <c r="J96" s="17" t="inlineStr">
        <is>
          <t>Por hacer</t>
        </is>
      </c>
      <c r="K96" s="16" t="n"/>
    </row>
    <row r="97" ht="33.75" customHeight="1" s="40">
      <c r="A97" s="22" t="inlineStr">
        <is>
          <t>T-070</t>
        </is>
      </c>
      <c r="B97" s="36" t="inlineStr">
        <is>
          <t>MVP 4</t>
        </is>
      </c>
      <c r="C97" s="25" t="inlineStr">
        <is>
          <t>H-20 · Planes, prueba premium y control por plan</t>
        </is>
      </c>
      <c r="D97" s="31" t="inlineStr">
        <is>
          <t>BE</t>
        </is>
      </c>
      <c r="E97" s="23" t="inlineStr">
        <is>
          <t>Integración de pagos</t>
        </is>
      </c>
      <c r="F97" s="14" t="inlineStr">
        <is>
          <t>Cobro de la suscripción con pasarela (ej. Mercado Pago) y webhook de estado de pago.</t>
        </is>
      </c>
      <c r="G97" s="14" t="inlineStr">
        <is>
          <t>Un pago aprobado activa el plan; uno rechazado no.</t>
        </is>
      </c>
      <c r="H97" s="29" t="inlineStr">
        <is>
          <t>T-066</t>
        </is>
      </c>
      <c r="I97" s="12" t="inlineStr">
        <is>
          <t>L</t>
        </is>
      </c>
      <c r="J97" s="12" t="inlineStr">
        <is>
          <t>Por hacer</t>
        </is>
      </c>
      <c r="K97" s="14" t="n"/>
    </row>
    <row r="98" ht="33.75" customHeight="1" s="40">
      <c r="A98" s="11" t="inlineStr">
        <is>
          <t>T-071</t>
        </is>
      </c>
      <c r="B98" s="36" t="inlineStr">
        <is>
          <t>MVP 4</t>
        </is>
      </c>
      <c r="C98" s="20" t="inlineStr">
        <is>
          <t>H-21 · Administración de organizaciones (backoffice)</t>
        </is>
      </c>
      <c r="D98" s="31" t="inlineStr">
        <is>
          <t>BE</t>
        </is>
      </c>
      <c r="E98" s="18" t="inlineStr">
        <is>
          <t>API de backoffice</t>
        </is>
      </c>
      <c r="F98" s="16" t="inlineStr">
        <is>
          <t>Endpoints solo para admin: buscar negocios, ver plan y uso.</t>
        </is>
      </c>
      <c r="G98" s="16" t="inlineStr">
        <is>
          <t>Un usuario común recibe 403.</t>
        </is>
      </c>
      <c r="H98" s="28" t="inlineStr">
        <is>
          <t>T-066</t>
        </is>
      </c>
      <c r="I98" s="17" t="inlineStr">
        <is>
          <t>S</t>
        </is>
      </c>
      <c r="J98" s="17" t="inlineStr">
        <is>
          <t>Por hacer</t>
        </is>
      </c>
      <c r="K98" s="16" t="n"/>
    </row>
    <row r="99" ht="33.75" customHeight="1" s="40">
      <c r="A99" s="22" t="inlineStr">
        <is>
          <t>T-072</t>
        </is>
      </c>
      <c r="B99" s="36" t="inlineStr">
        <is>
          <t>MVP 4</t>
        </is>
      </c>
      <c r="C99" s="25" t="inlineStr">
        <is>
          <t>H-21 · Administración de organizaciones (backoffice)</t>
        </is>
      </c>
      <c r="D99" s="32" t="inlineStr">
        <is>
          <t>FE</t>
        </is>
      </c>
      <c r="E99" s="23" t="inlineStr">
        <is>
          <t>Backoffice de organizaciones</t>
        </is>
      </c>
      <c r="F99" s="14" t="inlineStr">
        <is>
          <t>Pantalla de búsqueda y detalle de negocios.</t>
        </is>
      </c>
      <c r="G99" s="14" t="inlineStr">
        <is>
          <t>Se encuentra un negocio por nombre o email y se ve su situación.</t>
        </is>
      </c>
      <c r="H99" s="29" t="inlineStr">
        <is>
          <t>T-071</t>
        </is>
      </c>
      <c r="I99" s="12" t="inlineStr">
        <is>
          <t>M</t>
        </is>
      </c>
      <c r="J99" s="12" t="inlineStr">
        <is>
          <t>Por hacer</t>
        </is>
      </c>
      <c r="K99" s="14" t="n"/>
    </row>
    <row r="100" ht="33.75" customHeight="1" s="40">
      <c r="A100" s="11" t="inlineStr">
        <is>
          <t>T-073</t>
        </is>
      </c>
      <c r="B100" s="36" t="inlineStr">
        <is>
          <t>MVP 4</t>
        </is>
      </c>
      <c r="C100" s="20" t="inlineStr">
        <is>
          <t>H-22 · Inventario, costos y reportes</t>
        </is>
      </c>
      <c r="D100" s="37" t="inlineStr">
        <is>
          <t>Fullstack</t>
        </is>
      </c>
      <c r="E100" s="18" t="inlineStr">
        <is>
          <t>Campo relación entre bloques</t>
        </is>
      </c>
      <c r="F100" s="16" t="inlineStr">
        <is>
          <t>Nuevo tipo de campo que referencia registros de otro bloque (ej. Pedido → Producto).</t>
        </is>
      </c>
      <c r="G100" s="16" t="inlineStr">
        <is>
          <t>Se elige un registro del otro bloque y se muestra en tabla y ficha.</t>
        </is>
      </c>
      <c r="H100" s="28" t="inlineStr">
        <is>
          <t>T-018, T-024</t>
        </is>
      </c>
      <c r="I100" s="17" t="inlineStr">
        <is>
          <t>L</t>
        </is>
      </c>
      <c r="J100" s="17" t="inlineStr">
        <is>
          <t>Por hacer</t>
        </is>
      </c>
      <c r="K100" s="16" t="n"/>
    </row>
    <row r="101" ht="33.75" customHeight="1" s="40">
      <c r="A101" s="22" t="inlineStr">
        <is>
          <t>T-074</t>
        </is>
      </c>
      <c r="B101" s="36" t="inlineStr">
        <is>
          <t>MVP 4</t>
        </is>
      </c>
      <c r="C101" s="25" t="inlineStr">
        <is>
          <t>H-22 · Inventario, costos y reportes</t>
        </is>
      </c>
      <c r="D101" s="37" t="inlineStr">
        <is>
          <t>Fullstack</t>
        </is>
      </c>
      <c r="E101" s="23" t="inlineStr">
        <is>
          <t>Inventario por movimientos</t>
        </is>
      </c>
      <c r="F101" s="14" t="inlineStr">
        <is>
          <t>Bloque de movimientos (entrada/salida) que actualiza el stock del producto.</t>
        </is>
      </c>
      <c r="G101" s="14" t="inlineStr">
        <is>
          <t>El stock coincide con la suma de movimientos.</t>
        </is>
      </c>
      <c r="H101" s="29" t="inlineStr">
        <is>
          <t>T-073</t>
        </is>
      </c>
      <c r="I101" s="12" t="inlineStr">
        <is>
          <t>L</t>
        </is>
      </c>
      <c r="J101" s="12" t="inlineStr">
        <is>
          <t>Por hacer</t>
        </is>
      </c>
      <c r="K101" s="14" t="n"/>
    </row>
    <row r="102" ht="33.75" customHeight="1" s="40">
      <c r="A102" s="11" t="inlineStr">
        <is>
          <t>T-075</t>
        </is>
      </c>
      <c r="B102" s="36" t="inlineStr">
        <is>
          <t>MVP 4</t>
        </is>
      </c>
      <c r="C102" s="20" t="inlineStr">
        <is>
          <t>H-22 · Inventario, costos y reportes</t>
        </is>
      </c>
      <c r="D102" s="37" t="inlineStr">
        <is>
          <t>Fullstack</t>
        </is>
      </c>
      <c r="E102" s="18" t="inlineStr">
        <is>
          <t>Costo de producto</t>
        </is>
      </c>
      <c r="F102" s="16" t="inlineStr">
        <is>
          <t>Receta (producto → insumos con cantidad) y cálculo de costo con precios y unidades.</t>
        </is>
      </c>
      <c r="G102" s="16" t="inlineStr">
        <is>
          <t>El costo calculado coincide con el cálculo manual de prueba.</t>
        </is>
      </c>
      <c r="H102" s="28" t="inlineStr">
        <is>
          <t>T-073</t>
        </is>
      </c>
      <c r="I102" s="17" t="inlineStr">
        <is>
          <t>L</t>
        </is>
      </c>
      <c r="J102" s="17" t="inlineStr">
        <is>
          <t>Por hacer</t>
        </is>
      </c>
      <c r="K102" s="16" t="n"/>
    </row>
    <row r="103" ht="33.75" customHeight="1" s="40">
      <c r="A103" s="22" t="inlineStr">
        <is>
          <t>T-076</t>
        </is>
      </c>
      <c r="B103" s="36" t="inlineStr">
        <is>
          <t>MVP 4</t>
        </is>
      </c>
      <c r="C103" s="25" t="inlineStr">
        <is>
          <t>H-22 · Inventario, costos y reportes</t>
        </is>
      </c>
      <c r="D103" s="37" t="inlineStr">
        <is>
          <t>Fullstack</t>
        </is>
      </c>
      <c r="E103" s="23" t="inlineStr">
        <is>
          <t>Reportes con filtros y descarga</t>
        </is>
      </c>
      <c r="F103" s="14" t="inlineStr">
        <is>
          <t>Armar reporte con filtros y totales; descargar en XLSX/PDF.</t>
        </is>
      </c>
      <c r="G103" s="14" t="inlineStr">
        <is>
          <t>Los totales coinciden con los filtros y no incluyen otros negocios.</t>
        </is>
      </c>
      <c r="H103" s="29" t="inlineStr">
        <is>
          <t>T-054</t>
        </is>
      </c>
      <c r="I103" s="12" t="inlineStr">
        <is>
          <t>M</t>
        </is>
      </c>
      <c r="J103" s="12" t="inlineStr">
        <is>
          <t>Por hacer</t>
        </is>
      </c>
      <c r="K103" s="14" t="n"/>
    </row>
    <row r="104" ht="33.75" customHeight="1" s="40">
      <c r="A104" s="11" t="inlineStr">
        <is>
          <t>T-078</t>
        </is>
      </c>
      <c r="B104" s="36" t="inlineStr">
        <is>
          <t>MVP 4</t>
        </is>
      </c>
      <c r="C104" s="20" t="inlineStr">
        <is>
          <t>H-23 · Adjuntar archivos a registros</t>
        </is>
      </c>
      <c r="D104" s="37" t="inlineStr">
        <is>
          <t>Fullstack</t>
        </is>
      </c>
      <c r="E104" s="18" t="inlineStr">
        <is>
          <t>Campo tipo archivo</t>
        </is>
      </c>
      <c r="F104" s="16" t="inlineStr">
        <is>
          <t>Nuevo tipo de campo para adjuntar fotos/documentos con límites de tamaño y tipo.</t>
        </is>
      </c>
      <c r="G104" s="16" t="inlineStr">
        <is>
          <t>El archivo queda en el registro correcto; se rechazan archivos fuera de límite.</t>
        </is>
      </c>
      <c r="H104" s="28" t="inlineStr">
        <is>
          <t>T-077, T-018</t>
        </is>
      </c>
      <c r="I104" s="17" t="inlineStr">
        <is>
          <t>M</t>
        </is>
      </c>
      <c r="J104" s="17" t="inlineStr">
        <is>
          <t>Por hacer</t>
        </is>
      </c>
      <c r="K104" s="16" t="n"/>
    </row>
    <row r="105" ht="33.75" customHeight="1" s="40">
      <c r="A105" s="22" t="inlineStr">
        <is>
          <t>T-079</t>
        </is>
      </c>
      <c r="B105" s="36" t="inlineStr">
        <is>
          <t>MVP 4</t>
        </is>
      </c>
      <c r="C105" s="25" t="inlineStr">
        <is>
          <t>H-24 · Formularios compartibles</t>
        </is>
      </c>
      <c r="D105" s="37" t="inlineStr">
        <is>
          <t>Fullstack</t>
        </is>
      </c>
      <c r="E105" s="23" t="inlineStr">
        <is>
          <t>Formulario público compartible</t>
        </is>
      </c>
      <c r="F105" s="14" t="inlineStr">
        <is>
          <t>Link público con token por formulario, activar/desactivar, rate limit y captcha.</t>
        </is>
      </c>
      <c r="G105" s="14" t="inlineStr">
        <is>
          <t>Una persona sin cuenta carga un registro; con el formulario desactivado ve aviso.</t>
        </is>
      </c>
      <c r="H105" s="29" t="inlineStr">
        <is>
          <t>T-024</t>
        </is>
      </c>
      <c r="I105" s="12" t="inlineStr">
        <is>
          <t>M</t>
        </is>
      </c>
      <c r="J105" s="12" t="inlineStr">
        <is>
          <t>Por hacer</t>
        </is>
      </c>
      <c r="K105" s="14" t="n"/>
    </row>
    <row r="106" ht="33.75" customHeight="1" s="40">
      <c r="A106" s="11" t="inlineStr">
        <is>
          <t>T-080</t>
        </is>
      </c>
      <c r="B106" s="36" t="inlineStr">
        <is>
          <t>MVP 4</t>
        </is>
      </c>
      <c r="C106" s="20" t="inlineStr">
        <is>
          <t>H-25 · Automatizaciones: alertas, API y webhooks</t>
        </is>
      </c>
      <c r="D106" s="31" t="inlineStr">
        <is>
          <t>BE</t>
        </is>
      </c>
      <c r="E106" s="18" t="inlineStr">
        <is>
          <t>API pública con API keys</t>
        </is>
      </c>
      <c r="F106" s="16" t="inlineStr">
        <is>
          <t>Generar/revocar API keys por negocio y documentar endpoints (OpenAPI).</t>
        </is>
      </c>
      <c r="G106" s="16" t="inlineStr">
        <is>
          <t>Con una key válida se leen y crean registros; revocada → 401.</t>
        </is>
      </c>
      <c r="H106" s="28" t="inlineStr">
        <is>
          <t>T-027</t>
        </is>
      </c>
      <c r="I106" s="17" t="inlineStr">
        <is>
          <t>M</t>
        </is>
      </c>
      <c r="J106" s="17" t="inlineStr">
        <is>
          <t>Por hacer</t>
        </is>
      </c>
      <c r="K106" s="16" t="n"/>
    </row>
    <row r="107" ht="33.75" customHeight="1" s="40">
      <c r="A107" s="22" t="inlineStr">
        <is>
          <t>T-081</t>
        </is>
      </c>
      <c r="B107" s="36" t="inlineStr">
        <is>
          <t>MVP 4</t>
        </is>
      </c>
      <c r="C107" s="25" t="inlineStr">
        <is>
          <t>H-25 · Automatizaciones: alertas, API y webhooks</t>
        </is>
      </c>
      <c r="D107" s="31" t="inlineStr">
        <is>
          <t>BE</t>
        </is>
      </c>
      <c r="E107" s="23" t="inlineStr">
        <is>
          <t>Webhooks salientes</t>
        </is>
      </c>
      <c r="F107" s="14" t="inlineStr">
        <is>
          <t>Eventos record.created/updated/deleted con firma y reintentos.</t>
        </is>
      </c>
      <c r="G107" s="14" t="inlineStr">
        <is>
          <t>El endpoint receptor recibe el evento firmado; reintenta si falla.</t>
        </is>
      </c>
      <c r="H107" s="29" t="inlineStr">
        <is>
          <t>T-080</t>
        </is>
      </c>
      <c r="I107" s="12" t="inlineStr">
        <is>
          <t>M</t>
        </is>
      </c>
      <c r="J107" s="12" t="inlineStr">
        <is>
          <t>Por hacer</t>
        </is>
      </c>
      <c r="K107" s="14" t="n"/>
    </row>
    <row r="108" ht="33.75" customHeight="1" s="40">
      <c r="A108" s="11" t="inlineStr">
        <is>
          <t>T-082</t>
        </is>
      </c>
      <c r="B108" s="36" t="inlineStr">
        <is>
          <t>MVP 4</t>
        </is>
      </c>
      <c r="C108" s="20" t="inlineStr">
        <is>
          <t>H-25 · Automatizaciones: alertas, API y webhooks</t>
        </is>
      </c>
      <c r="D108" s="31" t="inlineStr">
        <is>
          <t>BE</t>
        </is>
      </c>
      <c r="E108" s="18" t="inlineStr">
        <is>
          <t>Motor de alertas</t>
        </is>
      </c>
      <c r="F108" s="16" t="inlineStr">
        <is>
          <t>Reglas condición → acción (ej. stock &lt; 5 → email) evaluadas al guardar registros.</t>
        </is>
      </c>
      <c r="G108" s="16" t="inlineStr">
        <is>
          <t>Al cumplirse la condición se envía el aviso una vez.</t>
        </is>
      </c>
      <c r="H108" s="28" t="inlineStr">
        <is>
          <t>T-027</t>
        </is>
      </c>
      <c r="I108" s="17" t="inlineStr">
        <is>
          <t>L</t>
        </is>
      </c>
      <c r="J108" s="17" t="inlineStr">
        <is>
          <t>Por hacer</t>
        </is>
      </c>
      <c r="K108" s="16" t="n"/>
    </row>
    <row r="109" ht="33.75" customHeight="1" s="40">
      <c r="A109" s="22" t="inlineStr">
        <is>
          <t>T-083</t>
        </is>
      </c>
      <c r="B109" s="36" t="inlineStr">
        <is>
          <t>MVP 4</t>
        </is>
      </c>
      <c r="C109" s="25" t="inlineStr">
        <is>
          <t>H-25 · Automatizaciones: alertas, API y webhooks</t>
        </is>
      </c>
      <c r="D109" s="32" t="inlineStr">
        <is>
          <t>FE</t>
        </is>
      </c>
      <c r="E109" s="23" t="inlineStr">
        <is>
          <t>Configurador de alertas</t>
        </is>
      </c>
      <c r="F109" s="14" t="inlineStr">
        <is>
          <t>Pantalla para elegir bloque, condición y destinatario.</t>
        </is>
      </c>
      <c r="G109" s="14" t="inlineStr">
        <is>
          <t>Una alerta creada desde la UI se dispara correctamente.</t>
        </is>
      </c>
      <c r="H109" s="29" t="inlineStr">
        <is>
          <t>T-082</t>
        </is>
      </c>
      <c r="I109" s="12" t="inlineStr">
        <is>
          <t>M</t>
        </is>
      </c>
      <c r="J109" s="12" t="inlineStr">
        <is>
          <t>Por hacer</t>
        </is>
      </c>
      <c r="K109" s="14" t="n"/>
    </row>
    <row r="110" ht="33.75" customHeight="1" s="40">
      <c r="A110" s="11" t="inlineStr">
        <is>
          <t>T-084</t>
        </is>
      </c>
      <c r="B110" s="36" t="inlineStr">
        <is>
          <t>MVP 4</t>
        </is>
      </c>
      <c r="C110" s="20" t="inlineStr">
        <is>
          <t>H-26 · Integración con Mercado Libre</t>
        </is>
      </c>
      <c r="D110" s="31" t="inlineStr">
        <is>
          <t>BE</t>
        </is>
      </c>
      <c r="E110" s="18" t="inlineStr">
        <is>
          <t>Conexión OAuth con Mercado Libre</t>
        </is>
      </c>
      <c r="F110" s="16" t="inlineStr">
        <is>
          <t>Autorizar, guardar tokens cifrados, refrescarlos y revocar la conexión.</t>
        </is>
      </c>
      <c r="G110" s="16" t="inlineStr">
        <is>
          <t>Se conecta y desconecta desde la app; tokens cifrados en BD.</t>
        </is>
      </c>
      <c r="H110" s="28" t="inlineStr">
        <is>
          <t>T-067</t>
        </is>
      </c>
      <c r="I110" s="17" t="inlineStr">
        <is>
          <t>M</t>
        </is>
      </c>
      <c r="J110" s="17" t="inlineStr">
        <is>
          <t>Por hacer</t>
        </is>
      </c>
      <c r="K110" s="16" t="n"/>
    </row>
    <row r="111" ht="33.75" customHeight="1" s="40">
      <c r="A111" s="22" t="inlineStr">
        <is>
          <t>T-085</t>
        </is>
      </c>
      <c r="B111" s="36" t="inlineStr">
        <is>
          <t>MVP 4</t>
        </is>
      </c>
      <c r="C111" s="25" t="inlineStr">
        <is>
          <t>H-26 · Integración con Mercado Libre</t>
        </is>
      </c>
      <c r="D111" s="31" t="inlineStr">
        <is>
          <t>BE</t>
        </is>
      </c>
      <c r="E111" s="23" t="inlineStr">
        <is>
          <t>Sincronización de publicaciones y ventas</t>
        </is>
      </c>
      <c r="F111" s="14" t="inlineStr">
        <is>
          <t>Traer publicaciones y órdenes de ML a bloques del proyecto.</t>
        </is>
      </c>
      <c r="G111" s="14" t="inlineStr">
        <is>
          <t>Las ventas nuevas aparecen como registros sin duplicarse.</t>
        </is>
      </c>
      <c r="H111" s="29" t="inlineStr">
        <is>
          <t>T-084</t>
        </is>
      </c>
      <c r="I111" s="12" t="inlineStr">
        <is>
          <t>L</t>
        </is>
      </c>
      <c r="J111" s="12" t="inlineStr">
        <is>
          <t>Por hacer</t>
        </is>
      </c>
      <c r="K111" s="14" t="n"/>
    </row>
    <row r="112" ht="33.75" customHeight="1" s="40">
      <c r="A112" s="11" t="inlineStr">
        <is>
          <t>T-086</t>
        </is>
      </c>
      <c r="B112" s="36" t="inlineStr">
        <is>
          <t>MVP 4</t>
        </is>
      </c>
      <c r="C112" s="20" t="inlineStr">
        <is>
          <t>H-26 · Integración con Mercado Libre</t>
        </is>
      </c>
      <c r="D112" s="32" t="inlineStr">
        <is>
          <t>FE</t>
        </is>
      </c>
      <c r="E112" s="18" t="inlineStr">
        <is>
          <t>Pantalla de integración ML</t>
        </is>
      </c>
      <c r="F112" s="16" t="inlineStr">
        <is>
          <t>Estado de la conexión, último sync y botón conectar/desconectar.</t>
        </is>
      </c>
      <c r="G112" s="16" t="inlineStr">
        <is>
          <t>El usuario ve si está conectado y cuándo sincronizó.</t>
        </is>
      </c>
      <c r="H112" s="28" t="inlineStr">
        <is>
          <t>T-084</t>
        </is>
      </c>
      <c r="I112" s="17" t="inlineStr">
        <is>
          <t>S</t>
        </is>
      </c>
      <c r="J112" s="17" t="inlineStr">
        <is>
          <t>Por hacer</t>
        </is>
      </c>
      <c r="K112" s="16" t="n"/>
    </row>
    <row r="113" ht="33.75" customHeight="1" s="40">
      <c r="A113" s="22" t="inlineStr">
        <is>
          <t>T-087</t>
        </is>
      </c>
      <c r="B113" s="36" t="inlineStr">
        <is>
          <t>MVP 4</t>
        </is>
      </c>
      <c r="C113" s="25" t="inlineStr">
        <is>
          <t>H-27 · Marketplace de plantillas</t>
        </is>
      </c>
      <c r="D113" s="37" t="inlineStr">
        <is>
          <t>Fullstack</t>
        </is>
      </c>
      <c r="E113" s="23" t="inlineStr">
        <is>
          <t>Publicar plantilla en el marketplace</t>
        </is>
      </c>
      <c r="F113" s="14" t="inlineStr">
        <is>
          <t>Enviar un proyecto como plantilla (sin datos) con estado pendiente/aprobada/rechazada.</t>
        </is>
      </c>
      <c r="G113" s="14" t="inlineStr">
        <is>
          <t>Una plantilla solo es visible después de ser aprobada.</t>
        </is>
      </c>
      <c r="H113" s="29" t="inlineStr">
        <is>
          <t>T-043</t>
        </is>
      </c>
      <c r="I113" s="12" t="inlineStr">
        <is>
          <t>M</t>
        </is>
      </c>
      <c r="J113" s="12" t="inlineStr">
        <is>
          <t>Por hacer</t>
        </is>
      </c>
      <c r="K113" s="14" t="n"/>
    </row>
    <row r="114" ht="33.75" customHeight="1" s="40">
      <c r="A114" s="11" t="inlineStr">
        <is>
          <t>T-088</t>
        </is>
      </c>
      <c r="B114" s="36" t="inlineStr">
        <is>
          <t>MVP 4</t>
        </is>
      </c>
      <c r="C114" s="20" t="inlineStr">
        <is>
          <t>H-27 · Marketplace de plantillas</t>
        </is>
      </c>
      <c r="D114" s="32" t="inlineStr">
        <is>
          <t>FE</t>
        </is>
      </c>
      <c r="E114" s="18" t="inlineStr">
        <is>
          <t>Explorar marketplace</t>
        </is>
      </c>
      <c r="F114" s="16" t="inlineStr">
        <is>
          <t>Catálogo con búsqueda, vista previa y usar plantilla.</t>
        </is>
      </c>
      <c r="G114" s="16" t="inlineStr">
        <is>
          <t>Se crea un proyecto desde una plantilla de terceros.</t>
        </is>
      </c>
      <c r="H114" s="28" t="inlineStr">
        <is>
          <t>T-087, T-042</t>
        </is>
      </c>
      <c r="I114" s="17" t="inlineStr">
        <is>
          <t>M</t>
        </is>
      </c>
      <c r="J114" s="17" t="inlineStr">
        <is>
          <t>Por hacer</t>
        </is>
      </c>
      <c r="K114" s="16" t="n"/>
    </row>
    <row r="115" ht="33.75" customHeight="1" s="40">
      <c r="A115" s="22" t="inlineStr">
        <is>
          <t>T-089</t>
        </is>
      </c>
      <c r="B115" s="36" t="inlineStr">
        <is>
          <t>MVP 4</t>
        </is>
      </c>
      <c r="C115" s="25" t="inlineStr">
        <is>
          <t>H-27 · Marketplace de plantillas</t>
        </is>
      </c>
      <c r="D115" s="32" t="inlineStr">
        <is>
          <t>FE</t>
        </is>
      </c>
      <c r="E115" s="23" t="inlineStr">
        <is>
          <t>Revisión de plantillas (admin)</t>
        </is>
      </c>
      <c r="F115" s="14" t="inlineStr">
        <is>
          <t>Pantalla en el backoffice para aprobar o rechazar plantillas.</t>
        </is>
      </c>
      <c r="G115" s="14" t="inlineStr">
        <is>
          <t>El admin aprueba y la plantilla aparece en el catálogo.</t>
        </is>
      </c>
      <c r="H115" s="29" t="inlineStr">
        <is>
          <t>T-087, T-072</t>
        </is>
      </c>
      <c r="I115" s="12" t="inlineStr">
        <is>
          <t>S</t>
        </is>
      </c>
      <c r="J115" s="12" t="inlineStr">
        <is>
          <t>Por hacer</t>
        </is>
      </c>
      <c r="K115" s="14" t="n"/>
    </row>
    <row r="116" ht="33.75" customHeight="1" s="40">
      <c r="A116" s="11" t="inlineStr">
        <is>
          <t>T-106</t>
        </is>
      </c>
      <c r="B116" s="36" t="inlineStr">
        <is>
          <t>MVP 4</t>
        </is>
      </c>
      <c r="C116" s="20" t="inlineStr">
        <is>
          <t>H-31 · Cargar por WhatsApp o audio</t>
        </is>
      </c>
      <c r="D116" s="31" t="inlineStr">
        <is>
          <t>BE</t>
        </is>
      </c>
      <c r="E116" s="18" t="inlineStr">
        <is>
          <t>Recepción de fotos por WhatsApp</t>
        </is>
      </c>
      <c r="F116" s="16" t="inlineStr">
        <is>
          <t>Integración con la API de WhatsApp Business: vincular el número del usuario y crear lotes con las fotos recibidas.</t>
        </is>
      </c>
      <c r="G116" s="16" t="inlineStr">
        <is>
          <t>Una foto enviada aparece como lote pendiente de revisión en el negocio correcto.</t>
        </is>
      </c>
      <c r="H116" s="28" t="inlineStr">
        <is>
          <t>T-096, T-067</t>
        </is>
      </c>
      <c r="I116" s="17" t="inlineStr">
        <is>
          <t>L</t>
        </is>
      </c>
      <c r="J116" s="17" t="inlineStr">
        <is>
          <t>Por hacer</t>
        </is>
      </c>
      <c r="K116" s="16" t="n"/>
    </row>
    <row r="117" ht="33.75" customHeight="1" s="40">
      <c r="A117" s="22" t="inlineStr">
        <is>
          <t>T-107</t>
        </is>
      </c>
      <c r="B117" s="36" t="inlineStr">
        <is>
          <t>MVP 4</t>
        </is>
      </c>
      <c r="C117" s="25" t="inlineStr">
        <is>
          <t>H-31 · Cargar por WhatsApp o audio</t>
        </is>
      </c>
      <c r="D117" s="37" t="inlineStr">
        <is>
          <t>Fullstack</t>
        </is>
      </c>
      <c r="E117" s="23" t="inlineStr">
        <is>
          <t>Carga por audio</t>
        </is>
      </c>
      <c r="F117" s="14" t="inlineStr">
        <is>
          <t>Grabar un audio corto, transcribirlo y extraer el registro con el servicio de IA para revisarlo y confirmarlo.</t>
        </is>
      </c>
      <c r="G117" s="14" t="inlineStr">
        <is>
          <t>Un audio tipo 'vendí 3 velas a Marta a 4500' genera un registro a confirmar con esos datos.</t>
        </is>
      </c>
      <c r="H117" s="29" t="inlineStr">
        <is>
          <t>T-095, T-101</t>
        </is>
      </c>
      <c r="I117" s="12" t="inlineStr">
        <is>
          <t>L</t>
        </is>
      </c>
      <c r="J117" s="12" t="inlineStr">
        <is>
          <t>Por hacer</t>
        </is>
      </c>
      <c r="K117" s="14" t="n"/>
    </row>
    <row r="118" s="40"/>
    <row r="119" s="40"/>
    <row r="120" s="40"/>
    <row r="121" s="40"/>
    <row r="122" s="40"/>
    <row r="123" s="40"/>
    <row r="124" s="40"/>
    <row r="125" s="40"/>
    <row r="126" s="40"/>
    <row r="127" s="40"/>
    <row r="128" s="40"/>
    <row r="129" s="40"/>
    <row r="130" s="40"/>
    <row r="131" s="40"/>
    <row r="132" ht="15.75" customHeight="1" s="40">
      <c r="B132" s="39" t="n"/>
      <c r="D132" s="39" t="n"/>
      <c r="I132" s="39" t="n"/>
      <c r="J132" s="39" t="n"/>
    </row>
    <row r="133" ht="15.75" customHeight="1" s="40">
      <c r="B133" s="39" t="n"/>
      <c r="D133" s="39" t="n"/>
      <c r="I133" s="39" t="n"/>
      <c r="J133" s="39" t="n"/>
    </row>
    <row r="134" ht="15.75" customHeight="1" s="40">
      <c r="B134" s="39" t="n"/>
      <c r="D134" s="39" t="n"/>
      <c r="I134" s="39" t="n"/>
      <c r="J134" s="39" t="n"/>
    </row>
    <row r="135" ht="15.75" customHeight="1" s="40">
      <c r="B135" s="39" t="n"/>
      <c r="D135" s="39" t="n"/>
      <c r="I135" s="39" t="n"/>
      <c r="J135" s="39" t="n"/>
    </row>
    <row r="136" ht="15.75" customHeight="1" s="40">
      <c r="B136" s="39" t="n"/>
      <c r="D136" s="39" t="n"/>
      <c r="I136" s="39" t="n"/>
      <c r="J136" s="39" t="n"/>
    </row>
    <row r="137" ht="15.75" customHeight="1" s="40">
      <c r="B137" s="39" t="n"/>
      <c r="D137" s="39" t="n"/>
      <c r="I137" s="39" t="n"/>
      <c r="J137" s="39" t="n"/>
    </row>
    <row r="138" ht="15.75" customHeight="1" s="40">
      <c r="B138" s="39" t="n"/>
      <c r="D138" s="39" t="n"/>
      <c r="I138" s="39" t="n"/>
      <c r="J138" s="39" t="n"/>
    </row>
    <row r="139" ht="15.75" customHeight="1" s="40">
      <c r="B139" s="39" t="n"/>
      <c r="D139" s="39" t="n"/>
      <c r="I139" s="39" t="n"/>
      <c r="J139" s="39" t="n"/>
    </row>
    <row r="140" ht="15.75" customHeight="1" s="40">
      <c r="B140" s="39" t="n"/>
      <c r="D140" s="39" t="n"/>
      <c r="I140" s="39" t="n"/>
      <c r="J140" s="39" t="n"/>
    </row>
    <row r="141" ht="15.75" customHeight="1" s="40">
      <c r="B141" s="39" t="n"/>
      <c r="D141" s="39" t="n"/>
      <c r="I141" s="39" t="n"/>
      <c r="J141" s="39" t="n"/>
    </row>
    <row r="142" ht="15.75" customHeight="1" s="40">
      <c r="B142" s="39" t="n"/>
      <c r="D142" s="39" t="n"/>
      <c r="I142" s="39" t="n"/>
      <c r="J142" s="39" t="n"/>
    </row>
    <row r="143" ht="15.75" customHeight="1" s="40">
      <c r="B143" s="39" t="n"/>
      <c r="D143" s="39" t="n"/>
      <c r="I143" s="39" t="n"/>
      <c r="J143" s="39" t="n"/>
    </row>
    <row r="144" ht="15.75" customHeight="1" s="40">
      <c r="B144" s="39" t="n"/>
      <c r="D144" s="39" t="n"/>
      <c r="I144" s="39" t="n"/>
      <c r="J144" s="39" t="n"/>
    </row>
    <row r="145" ht="15.75" customHeight="1" s="40">
      <c r="B145" s="39" t="n"/>
      <c r="D145" s="39" t="n"/>
      <c r="I145" s="39" t="n"/>
      <c r="J145" s="39" t="n"/>
    </row>
    <row r="146" ht="15.75" customHeight="1" s="40">
      <c r="B146" s="39" t="n"/>
      <c r="D146" s="39" t="n"/>
      <c r="I146" s="39" t="n"/>
      <c r="J146" s="39" t="n"/>
    </row>
    <row r="147" ht="15.75" customHeight="1" s="40">
      <c r="B147" s="39" t="n"/>
      <c r="D147" s="39" t="n"/>
      <c r="I147" s="39" t="n"/>
      <c r="J147" s="39" t="n"/>
    </row>
    <row r="148" ht="15.75" customHeight="1" s="40">
      <c r="B148" s="39" t="n"/>
      <c r="D148" s="39" t="n"/>
      <c r="I148" s="39" t="n"/>
      <c r="J148" s="39" t="n"/>
    </row>
    <row r="149" ht="15.75" customHeight="1" s="40">
      <c r="B149" s="39" t="n"/>
      <c r="D149" s="39" t="n"/>
      <c r="I149" s="39" t="n"/>
      <c r="J149" s="39" t="n"/>
    </row>
    <row r="150" ht="15.75" customHeight="1" s="40">
      <c r="B150" s="39" t="n"/>
      <c r="D150" s="39" t="n"/>
      <c r="I150" s="39" t="n"/>
      <c r="J150" s="39" t="n"/>
    </row>
    <row r="151" ht="15.75" customHeight="1" s="40">
      <c r="B151" s="39" t="n"/>
      <c r="D151" s="39" t="n"/>
      <c r="I151" s="39" t="n"/>
      <c r="J151" s="39" t="n"/>
    </row>
    <row r="152" ht="15.75" customHeight="1" s="40">
      <c r="B152" s="39" t="n"/>
      <c r="D152" s="39" t="n"/>
      <c r="I152" s="39" t="n"/>
      <c r="J152" s="39" t="n"/>
    </row>
    <row r="153" ht="15.75" customHeight="1" s="40">
      <c r="B153" s="39" t="n"/>
      <c r="D153" s="39" t="n"/>
      <c r="I153" s="39" t="n"/>
      <c r="J153" s="39" t="n"/>
    </row>
    <row r="154" ht="15.75" customHeight="1" s="40">
      <c r="B154" s="39" t="n"/>
      <c r="D154" s="39" t="n"/>
      <c r="I154" s="39" t="n"/>
      <c r="J154" s="39" t="n"/>
    </row>
    <row r="155" ht="15.75" customHeight="1" s="40">
      <c r="B155" s="39" t="n"/>
      <c r="D155" s="39" t="n"/>
      <c r="I155" s="39" t="n"/>
      <c r="J155" s="39" t="n"/>
    </row>
    <row r="156" ht="15.75" customHeight="1" s="40">
      <c r="B156" s="39" t="n"/>
      <c r="D156" s="39" t="n"/>
      <c r="I156" s="39" t="n"/>
      <c r="J156" s="39" t="n"/>
    </row>
    <row r="157" ht="15.75" customHeight="1" s="40">
      <c r="B157" s="39" t="n"/>
      <c r="D157" s="39" t="n"/>
      <c r="I157" s="39" t="n"/>
      <c r="J157" s="39" t="n"/>
    </row>
    <row r="158" ht="15.75" customHeight="1" s="40">
      <c r="B158" s="39" t="n"/>
      <c r="D158" s="39" t="n"/>
      <c r="I158" s="39" t="n"/>
      <c r="J158" s="39" t="n"/>
    </row>
    <row r="159" ht="15.75" customHeight="1" s="40">
      <c r="B159" s="39" t="n"/>
      <c r="D159" s="39" t="n"/>
      <c r="I159" s="39" t="n"/>
      <c r="J159" s="39" t="n"/>
    </row>
    <row r="160" ht="15.75" customHeight="1" s="40">
      <c r="B160" s="39" t="n"/>
      <c r="D160" s="39" t="n"/>
      <c r="I160" s="39" t="n"/>
      <c r="J160" s="39" t="n"/>
    </row>
    <row r="161" ht="15.75" customHeight="1" s="40">
      <c r="B161" s="39" t="n"/>
      <c r="D161" s="39" t="n"/>
      <c r="I161" s="39" t="n"/>
      <c r="J161" s="39" t="n"/>
    </row>
    <row r="162" ht="15.75" customHeight="1" s="40">
      <c r="B162" s="39" t="n"/>
      <c r="D162" s="39" t="n"/>
      <c r="I162" s="39" t="n"/>
      <c r="J162" s="39" t="n"/>
    </row>
    <row r="163" ht="15.75" customHeight="1" s="40">
      <c r="B163" s="39" t="n"/>
      <c r="D163" s="39" t="n"/>
      <c r="I163" s="39" t="n"/>
      <c r="J163" s="39" t="n"/>
    </row>
    <row r="164" ht="15.75" customHeight="1" s="40">
      <c r="B164" s="39" t="n"/>
      <c r="D164" s="39" t="n"/>
      <c r="I164" s="39" t="n"/>
      <c r="J164" s="39" t="n"/>
    </row>
    <row r="165" ht="15.75" customHeight="1" s="40">
      <c r="B165" s="39" t="n"/>
      <c r="D165" s="39" t="n"/>
      <c r="I165" s="39" t="n"/>
      <c r="J165" s="39" t="n"/>
    </row>
    <row r="166" ht="15.75" customHeight="1" s="40">
      <c r="B166" s="39" t="n"/>
      <c r="D166" s="39" t="n"/>
      <c r="I166" s="39" t="n"/>
      <c r="J166" s="39" t="n"/>
    </row>
    <row r="167" ht="15.75" customHeight="1" s="40">
      <c r="B167" s="39" t="n"/>
      <c r="D167" s="39" t="n"/>
      <c r="I167" s="39" t="n"/>
      <c r="J167" s="39" t="n"/>
    </row>
    <row r="168" ht="15.75" customHeight="1" s="40">
      <c r="B168" s="39" t="n"/>
      <c r="D168" s="39" t="n"/>
      <c r="I168" s="39" t="n"/>
      <c r="J168" s="39" t="n"/>
    </row>
    <row r="169" ht="15.75" customHeight="1" s="40">
      <c r="B169" s="39" t="n"/>
      <c r="D169" s="39" t="n"/>
      <c r="I169" s="39" t="n"/>
      <c r="J169" s="39" t="n"/>
    </row>
    <row r="170" ht="15.75" customHeight="1" s="40">
      <c r="B170" s="39" t="n"/>
      <c r="D170" s="39" t="n"/>
      <c r="I170" s="39" t="n"/>
      <c r="J170" s="39" t="n"/>
    </row>
    <row r="171" ht="15.75" customHeight="1" s="40">
      <c r="B171" s="39" t="n"/>
      <c r="D171" s="39" t="n"/>
      <c r="I171" s="39" t="n"/>
      <c r="J171" s="39" t="n"/>
    </row>
    <row r="172" ht="15.75" customHeight="1" s="40">
      <c r="B172" s="39" t="n"/>
      <c r="D172" s="39" t="n"/>
      <c r="I172" s="39" t="n"/>
      <c r="J172" s="39" t="n"/>
    </row>
    <row r="173" ht="15.75" customHeight="1" s="40">
      <c r="B173" s="39" t="n"/>
      <c r="D173" s="39" t="n"/>
      <c r="I173" s="39" t="n"/>
      <c r="J173" s="39" t="n"/>
    </row>
    <row r="174" ht="15.75" customHeight="1" s="40">
      <c r="B174" s="39" t="n"/>
      <c r="D174" s="39" t="n"/>
      <c r="I174" s="39" t="n"/>
      <c r="J174" s="39" t="n"/>
    </row>
    <row r="175" ht="15.75" customHeight="1" s="40">
      <c r="B175" s="39" t="n"/>
      <c r="D175" s="39" t="n"/>
      <c r="I175" s="39" t="n"/>
      <c r="J175" s="39" t="n"/>
    </row>
    <row r="176" ht="15.75" customHeight="1" s="40">
      <c r="B176" s="39" t="n"/>
      <c r="D176" s="39" t="n"/>
      <c r="I176" s="39" t="n"/>
      <c r="J176" s="39" t="n"/>
    </row>
    <row r="177" ht="15.75" customHeight="1" s="40">
      <c r="B177" s="39" t="n"/>
      <c r="D177" s="39" t="n"/>
      <c r="I177" s="39" t="n"/>
      <c r="J177" s="39" t="n"/>
    </row>
    <row r="178" ht="15.75" customHeight="1" s="40">
      <c r="B178" s="39" t="n"/>
      <c r="D178" s="39" t="n"/>
      <c r="I178" s="39" t="n"/>
      <c r="J178" s="39" t="n"/>
    </row>
    <row r="179" ht="15.75" customHeight="1" s="40">
      <c r="B179" s="39" t="n"/>
      <c r="D179" s="39" t="n"/>
      <c r="I179" s="39" t="n"/>
      <c r="J179" s="39" t="n"/>
    </row>
    <row r="180" ht="15.75" customHeight="1" s="40">
      <c r="B180" s="39" t="n"/>
      <c r="D180" s="39" t="n"/>
      <c r="I180" s="39" t="n"/>
      <c r="J180" s="39" t="n"/>
    </row>
    <row r="181" ht="15.75" customHeight="1" s="40">
      <c r="B181" s="39" t="n"/>
      <c r="D181" s="39" t="n"/>
      <c r="I181" s="39" t="n"/>
      <c r="J181" s="39" t="n"/>
    </row>
    <row r="182" ht="15.75" customHeight="1" s="40">
      <c r="B182" s="39" t="n"/>
      <c r="D182" s="39" t="n"/>
      <c r="I182" s="39" t="n"/>
      <c r="J182" s="39" t="n"/>
    </row>
    <row r="183" ht="15.75" customHeight="1" s="40">
      <c r="B183" s="39" t="n"/>
      <c r="D183" s="39" t="n"/>
      <c r="I183" s="39" t="n"/>
      <c r="J183" s="39" t="n"/>
    </row>
    <row r="184" ht="15.75" customHeight="1" s="40">
      <c r="B184" s="39" t="n"/>
      <c r="D184" s="39" t="n"/>
      <c r="I184" s="39" t="n"/>
      <c r="J184" s="39" t="n"/>
    </row>
    <row r="185" ht="15.75" customHeight="1" s="40">
      <c r="B185" s="39" t="n"/>
      <c r="D185" s="39" t="n"/>
      <c r="I185" s="39" t="n"/>
      <c r="J185" s="39" t="n"/>
    </row>
    <row r="186" ht="15.75" customHeight="1" s="40">
      <c r="B186" s="39" t="n"/>
      <c r="D186" s="39" t="n"/>
      <c r="I186" s="39" t="n"/>
      <c r="J186" s="39" t="n"/>
    </row>
    <row r="187" ht="15.75" customHeight="1" s="40">
      <c r="B187" s="39" t="n"/>
      <c r="D187" s="39" t="n"/>
      <c r="I187" s="39" t="n"/>
      <c r="J187" s="39" t="n"/>
    </row>
    <row r="188" ht="15.75" customHeight="1" s="40">
      <c r="B188" s="39" t="n"/>
      <c r="D188" s="39" t="n"/>
      <c r="I188" s="39" t="n"/>
      <c r="J188" s="39" t="n"/>
    </row>
    <row r="189" ht="15.75" customHeight="1" s="40">
      <c r="B189" s="39" t="n"/>
      <c r="D189" s="39" t="n"/>
      <c r="I189" s="39" t="n"/>
      <c r="J189" s="39" t="n"/>
    </row>
    <row r="190" ht="15.75" customHeight="1" s="40">
      <c r="B190" s="39" t="n"/>
      <c r="D190" s="39" t="n"/>
      <c r="I190" s="39" t="n"/>
      <c r="J190" s="39" t="n"/>
    </row>
    <row r="191" ht="15.75" customHeight="1" s="40">
      <c r="B191" s="39" t="n"/>
      <c r="D191" s="39" t="n"/>
      <c r="I191" s="39" t="n"/>
      <c r="J191" s="39" t="n"/>
    </row>
    <row r="192" ht="15.75" customHeight="1" s="40">
      <c r="B192" s="39" t="n"/>
      <c r="D192" s="39" t="n"/>
      <c r="I192" s="39" t="n"/>
      <c r="J192" s="39" t="n"/>
    </row>
    <row r="193" ht="15.75" customHeight="1" s="40">
      <c r="B193" s="39" t="n"/>
      <c r="D193" s="39" t="n"/>
      <c r="I193" s="39" t="n"/>
      <c r="J193" s="39" t="n"/>
    </row>
    <row r="194" ht="15.75" customHeight="1" s="40">
      <c r="B194" s="39" t="n"/>
      <c r="D194" s="39" t="n"/>
      <c r="I194" s="39" t="n"/>
      <c r="J194" s="39" t="n"/>
    </row>
    <row r="195" ht="15.75" customHeight="1" s="40">
      <c r="B195" s="39" t="n"/>
      <c r="D195" s="39" t="n"/>
      <c r="I195" s="39" t="n"/>
      <c r="J195" s="39" t="n"/>
    </row>
    <row r="196" ht="15.75" customHeight="1" s="40">
      <c r="B196" s="39" t="n"/>
      <c r="D196" s="39" t="n"/>
      <c r="I196" s="39" t="n"/>
      <c r="J196" s="39" t="n"/>
    </row>
    <row r="197" ht="15.75" customHeight="1" s="40">
      <c r="B197" s="39" t="n"/>
      <c r="D197" s="39" t="n"/>
      <c r="I197" s="39" t="n"/>
      <c r="J197" s="39" t="n"/>
    </row>
    <row r="198" ht="15.75" customHeight="1" s="40">
      <c r="B198" s="39" t="n"/>
      <c r="D198" s="39" t="n"/>
      <c r="I198" s="39" t="n"/>
      <c r="J198" s="39" t="n"/>
    </row>
    <row r="199" ht="15.75" customHeight="1" s="40">
      <c r="B199" s="39" t="n"/>
      <c r="D199" s="39" t="n"/>
      <c r="I199" s="39" t="n"/>
      <c r="J199" s="39" t="n"/>
    </row>
    <row r="200" ht="15.75" customHeight="1" s="40">
      <c r="B200" s="39" t="n"/>
      <c r="D200" s="39" t="n"/>
      <c r="I200" s="39" t="n"/>
      <c r="J200" s="39" t="n"/>
    </row>
    <row r="201" ht="15.75" customHeight="1" s="40">
      <c r="B201" s="39" t="n"/>
      <c r="D201" s="39" t="n"/>
      <c r="I201" s="39" t="n"/>
      <c r="J201" s="39" t="n"/>
    </row>
    <row r="202" ht="15.75" customHeight="1" s="40">
      <c r="B202" s="39" t="n"/>
      <c r="D202" s="39" t="n"/>
      <c r="I202" s="39" t="n"/>
      <c r="J202" s="39" t="n"/>
    </row>
    <row r="203" ht="15.75" customHeight="1" s="40">
      <c r="B203" s="39" t="n"/>
      <c r="D203" s="39" t="n"/>
      <c r="I203" s="39" t="n"/>
      <c r="J203" s="39" t="n"/>
    </row>
    <row r="204" ht="15.75" customHeight="1" s="40">
      <c r="B204" s="39" t="n"/>
      <c r="D204" s="39" t="n"/>
      <c r="I204" s="39" t="n"/>
      <c r="J204" s="39" t="n"/>
    </row>
    <row r="205" ht="15.75" customHeight="1" s="40">
      <c r="B205" s="39" t="n"/>
      <c r="D205" s="39" t="n"/>
      <c r="I205" s="39" t="n"/>
      <c r="J205" s="39" t="n"/>
    </row>
    <row r="206" ht="15.75" customHeight="1" s="40">
      <c r="B206" s="39" t="n"/>
      <c r="D206" s="39" t="n"/>
      <c r="I206" s="39" t="n"/>
      <c r="J206" s="39" t="n"/>
    </row>
    <row r="207" ht="15.75" customHeight="1" s="40">
      <c r="B207" s="39" t="n"/>
      <c r="D207" s="39" t="n"/>
      <c r="I207" s="39" t="n"/>
      <c r="J207" s="39" t="n"/>
    </row>
    <row r="208" ht="15.75" customHeight="1" s="40">
      <c r="B208" s="39" t="n"/>
      <c r="D208" s="39" t="n"/>
      <c r="I208" s="39" t="n"/>
      <c r="J208" s="39" t="n"/>
    </row>
    <row r="209" ht="15.75" customHeight="1" s="40">
      <c r="B209" s="39" t="n"/>
      <c r="D209" s="39" t="n"/>
      <c r="I209" s="39" t="n"/>
      <c r="J209" s="39" t="n"/>
    </row>
    <row r="210" ht="15.75" customHeight="1" s="40">
      <c r="B210" s="39" t="n"/>
      <c r="D210" s="39" t="n"/>
      <c r="I210" s="39" t="n"/>
      <c r="J210" s="39" t="n"/>
    </row>
    <row r="211" ht="15.75" customHeight="1" s="40">
      <c r="B211" s="39" t="n"/>
      <c r="D211" s="39" t="n"/>
      <c r="I211" s="39" t="n"/>
      <c r="J211" s="39" t="n"/>
    </row>
    <row r="212" ht="15.75" customHeight="1" s="40">
      <c r="B212" s="39" t="n"/>
      <c r="D212" s="39" t="n"/>
      <c r="I212" s="39" t="n"/>
      <c r="J212" s="39" t="n"/>
    </row>
    <row r="213" ht="15.75" customHeight="1" s="40">
      <c r="B213" s="39" t="n"/>
      <c r="D213" s="39" t="n"/>
      <c r="I213" s="39" t="n"/>
      <c r="J213" s="39" t="n"/>
    </row>
    <row r="214" ht="15.75" customHeight="1" s="40">
      <c r="B214" s="39" t="n"/>
      <c r="D214" s="39" t="n"/>
      <c r="I214" s="39" t="n"/>
      <c r="J214" s="39" t="n"/>
    </row>
    <row r="215" ht="15.75" customHeight="1" s="40">
      <c r="B215" s="39" t="n"/>
      <c r="D215" s="39" t="n"/>
      <c r="I215" s="39" t="n"/>
      <c r="J215" s="39" t="n"/>
    </row>
    <row r="216" ht="15.75" customHeight="1" s="40">
      <c r="B216" s="39" t="n"/>
      <c r="D216" s="39" t="n"/>
      <c r="I216" s="39" t="n"/>
      <c r="J216" s="39" t="n"/>
    </row>
    <row r="217" ht="15.75" customHeight="1" s="40">
      <c r="B217" s="39" t="n"/>
      <c r="D217" s="39" t="n"/>
      <c r="I217" s="39" t="n"/>
      <c r="J217" s="39" t="n"/>
    </row>
    <row r="218" ht="15.75" customHeight="1" s="40">
      <c r="B218" s="39" t="n"/>
      <c r="D218" s="39" t="n"/>
      <c r="I218" s="39" t="n"/>
      <c r="J218" s="39" t="n"/>
    </row>
    <row r="219" ht="15.75" customHeight="1" s="40">
      <c r="B219" s="39" t="n"/>
      <c r="D219" s="39" t="n"/>
      <c r="I219" s="39" t="n"/>
      <c r="J219" s="39" t="n"/>
    </row>
    <row r="220" ht="15.75" customHeight="1" s="40">
      <c r="B220" s="39" t="n"/>
      <c r="D220" s="39" t="n"/>
      <c r="I220" s="39" t="n"/>
      <c r="J220" s="39" t="n"/>
    </row>
    <row r="221" ht="15.75" customHeight="1" s="40">
      <c r="B221" s="39" t="n"/>
      <c r="D221" s="39" t="n"/>
      <c r="I221" s="39" t="n"/>
      <c r="J221" s="39" t="n"/>
    </row>
    <row r="222" ht="15.75" customHeight="1" s="40">
      <c r="B222" s="39" t="n"/>
      <c r="D222" s="39" t="n"/>
      <c r="I222" s="39" t="n"/>
      <c r="J222" s="39" t="n"/>
    </row>
    <row r="223" ht="15.75" customHeight="1" s="40">
      <c r="B223" s="39" t="n"/>
      <c r="D223" s="39" t="n"/>
      <c r="I223" s="39" t="n"/>
      <c r="J223" s="39" t="n"/>
    </row>
    <row r="224" ht="15.75" customHeight="1" s="40">
      <c r="B224" s="39" t="n"/>
      <c r="D224" s="39" t="n"/>
      <c r="I224" s="39" t="n"/>
      <c r="J224" s="39" t="n"/>
    </row>
    <row r="225" ht="15.75" customHeight="1" s="40">
      <c r="B225" s="39" t="n"/>
      <c r="D225" s="39" t="n"/>
      <c r="I225" s="39" t="n"/>
      <c r="J225" s="39" t="n"/>
    </row>
    <row r="226" ht="15.75" customHeight="1" s="40">
      <c r="B226" s="39" t="n"/>
      <c r="D226" s="39" t="n"/>
      <c r="I226" s="39" t="n"/>
      <c r="J226" s="39" t="n"/>
    </row>
    <row r="227" ht="15.75" customHeight="1" s="40">
      <c r="B227" s="39" t="n"/>
      <c r="D227" s="39" t="n"/>
      <c r="I227" s="39" t="n"/>
      <c r="J227" s="39" t="n"/>
    </row>
    <row r="228" ht="15.75" customHeight="1" s="40">
      <c r="B228" s="39" t="n"/>
      <c r="D228" s="39" t="n"/>
      <c r="I228" s="39" t="n"/>
      <c r="J228" s="39" t="n"/>
    </row>
    <row r="229" ht="15.75" customHeight="1" s="40">
      <c r="B229" s="39" t="n"/>
      <c r="D229" s="39" t="n"/>
      <c r="I229" s="39" t="n"/>
      <c r="J229" s="39" t="n"/>
    </row>
    <row r="230" ht="15.75" customHeight="1" s="40">
      <c r="B230" s="39" t="n"/>
      <c r="D230" s="39" t="n"/>
      <c r="I230" s="39" t="n"/>
      <c r="J230" s="39" t="n"/>
    </row>
    <row r="231" ht="15.75" customHeight="1" s="40">
      <c r="B231" s="39" t="n"/>
      <c r="D231" s="39" t="n"/>
      <c r="I231" s="39" t="n"/>
      <c r="J231" s="39" t="n"/>
    </row>
    <row r="232" ht="15.75" customHeight="1" s="40">
      <c r="B232" s="39" t="n"/>
      <c r="D232" s="39" t="n"/>
      <c r="I232" s="39" t="n"/>
      <c r="J232" s="39" t="n"/>
    </row>
    <row r="233" ht="15.75" customHeight="1" s="40">
      <c r="B233" s="39" t="n"/>
      <c r="D233" s="39" t="n"/>
      <c r="I233" s="39" t="n"/>
      <c r="J233" s="39" t="n"/>
    </row>
    <row r="234" ht="15.75" customHeight="1" s="40">
      <c r="B234" s="39" t="n"/>
      <c r="D234" s="39" t="n"/>
      <c r="I234" s="39" t="n"/>
      <c r="J234" s="39" t="n"/>
    </row>
    <row r="235" ht="15.75" customHeight="1" s="40">
      <c r="B235" s="39" t="n"/>
      <c r="D235" s="39" t="n"/>
      <c r="I235" s="39" t="n"/>
      <c r="J235" s="39" t="n"/>
    </row>
    <row r="236" ht="15.75" customHeight="1" s="40">
      <c r="B236" s="39" t="n"/>
      <c r="D236" s="39" t="n"/>
      <c r="I236" s="39" t="n"/>
      <c r="J236" s="39" t="n"/>
    </row>
    <row r="237" ht="15.75" customHeight="1" s="40">
      <c r="B237" s="39" t="n"/>
      <c r="D237" s="39" t="n"/>
      <c r="I237" s="39" t="n"/>
      <c r="J237" s="39" t="n"/>
    </row>
    <row r="238" ht="15.75" customHeight="1" s="40">
      <c r="B238" s="39" t="n"/>
      <c r="D238" s="39" t="n"/>
      <c r="I238" s="39" t="n"/>
      <c r="J238" s="39" t="n"/>
    </row>
    <row r="239" ht="15.75" customHeight="1" s="40">
      <c r="B239" s="39" t="n"/>
      <c r="D239" s="39" t="n"/>
      <c r="I239" s="39" t="n"/>
      <c r="J239" s="39" t="n"/>
    </row>
    <row r="240" ht="15.75" customHeight="1" s="40">
      <c r="B240" s="39" t="n"/>
      <c r="D240" s="39" t="n"/>
      <c r="I240" s="39" t="n"/>
      <c r="J240" s="39" t="n"/>
    </row>
    <row r="241" ht="15.75" customHeight="1" s="40">
      <c r="B241" s="39" t="n"/>
      <c r="D241" s="39" t="n"/>
      <c r="I241" s="39" t="n"/>
      <c r="J241" s="39" t="n"/>
    </row>
    <row r="242" ht="15.75" customHeight="1" s="40">
      <c r="B242" s="39" t="n"/>
      <c r="D242" s="39" t="n"/>
      <c r="I242" s="39" t="n"/>
      <c r="J242" s="39" t="n"/>
    </row>
    <row r="243" ht="15.75" customHeight="1" s="40">
      <c r="B243" s="39" t="n"/>
      <c r="D243" s="39" t="n"/>
      <c r="I243" s="39" t="n"/>
      <c r="J243" s="39" t="n"/>
    </row>
    <row r="244" ht="15.75" customHeight="1" s="40">
      <c r="B244" s="39" t="n"/>
      <c r="D244" s="39" t="n"/>
      <c r="I244" s="39" t="n"/>
      <c r="J244" s="39" t="n"/>
    </row>
    <row r="245" ht="15.75" customHeight="1" s="40">
      <c r="B245" s="39" t="n"/>
      <c r="D245" s="39" t="n"/>
      <c r="I245" s="39" t="n"/>
      <c r="J245" s="39" t="n"/>
    </row>
    <row r="246" ht="15.75" customHeight="1" s="40">
      <c r="B246" s="39" t="n"/>
      <c r="D246" s="39" t="n"/>
      <c r="I246" s="39" t="n"/>
      <c r="J246" s="39" t="n"/>
    </row>
    <row r="247" ht="15.75" customHeight="1" s="40">
      <c r="B247" s="39" t="n"/>
      <c r="D247" s="39" t="n"/>
      <c r="I247" s="39" t="n"/>
      <c r="J247" s="39" t="n"/>
    </row>
    <row r="248" ht="15.75" customHeight="1" s="40">
      <c r="B248" s="39" t="n"/>
      <c r="D248" s="39" t="n"/>
      <c r="I248" s="39" t="n"/>
      <c r="J248" s="39" t="n"/>
    </row>
    <row r="249" ht="15.75" customHeight="1" s="40">
      <c r="B249" s="39" t="n"/>
      <c r="D249" s="39" t="n"/>
      <c r="I249" s="39" t="n"/>
      <c r="J249" s="39" t="n"/>
    </row>
    <row r="250" ht="15.75" customHeight="1" s="40">
      <c r="B250" s="39" t="n"/>
      <c r="D250" s="39" t="n"/>
      <c r="I250" s="39" t="n"/>
      <c r="J250" s="39" t="n"/>
    </row>
    <row r="251" ht="15.75" customHeight="1" s="40">
      <c r="B251" s="39" t="n"/>
      <c r="D251" s="39" t="n"/>
      <c r="I251" s="39" t="n"/>
      <c r="J251" s="39" t="n"/>
    </row>
    <row r="252" ht="15.75" customHeight="1" s="40">
      <c r="B252" s="39" t="n"/>
      <c r="D252" s="39" t="n"/>
      <c r="I252" s="39" t="n"/>
      <c r="J252" s="39" t="n"/>
    </row>
    <row r="253" ht="15.75" customHeight="1" s="40">
      <c r="B253" s="39" t="n"/>
      <c r="D253" s="39" t="n"/>
      <c r="I253" s="39" t="n"/>
      <c r="J253" s="39" t="n"/>
    </row>
    <row r="254" ht="15.75" customHeight="1" s="40">
      <c r="B254" s="39" t="n"/>
      <c r="D254" s="39" t="n"/>
      <c r="I254" s="39" t="n"/>
      <c r="J254" s="39" t="n"/>
    </row>
    <row r="255" ht="15.75" customHeight="1" s="40">
      <c r="B255" s="39" t="n"/>
      <c r="D255" s="39" t="n"/>
      <c r="I255" s="39" t="n"/>
      <c r="J255" s="39" t="n"/>
    </row>
    <row r="256" ht="15.75" customHeight="1" s="40">
      <c r="B256" s="39" t="n"/>
      <c r="D256" s="39" t="n"/>
      <c r="I256" s="39" t="n"/>
      <c r="J256" s="39" t="n"/>
    </row>
    <row r="257" ht="15.75" customHeight="1" s="40">
      <c r="B257" s="39" t="n"/>
      <c r="D257" s="39" t="n"/>
      <c r="I257" s="39" t="n"/>
      <c r="J257" s="39" t="n"/>
    </row>
    <row r="258" ht="15.75" customHeight="1" s="40">
      <c r="B258" s="39" t="n"/>
      <c r="D258" s="39" t="n"/>
      <c r="I258" s="39" t="n"/>
      <c r="J258" s="39" t="n"/>
    </row>
    <row r="259" ht="15.75" customHeight="1" s="40">
      <c r="B259" s="39" t="n"/>
      <c r="D259" s="39" t="n"/>
      <c r="I259" s="39" t="n"/>
      <c r="J259" s="39" t="n"/>
    </row>
    <row r="260" ht="15.75" customHeight="1" s="40">
      <c r="B260" s="39" t="n"/>
      <c r="D260" s="39" t="n"/>
      <c r="I260" s="39" t="n"/>
      <c r="J260" s="39" t="n"/>
    </row>
    <row r="261" ht="15.75" customHeight="1" s="40">
      <c r="B261" s="39" t="n"/>
      <c r="D261" s="39" t="n"/>
      <c r="I261" s="39" t="n"/>
      <c r="J261" s="39" t="n"/>
    </row>
    <row r="262" ht="15.75" customHeight="1" s="40">
      <c r="B262" s="39" t="n"/>
      <c r="D262" s="39" t="n"/>
      <c r="I262" s="39" t="n"/>
      <c r="J262" s="39" t="n"/>
    </row>
    <row r="263" ht="15.75" customHeight="1" s="40">
      <c r="B263" s="39" t="n"/>
      <c r="D263" s="39" t="n"/>
      <c r="I263" s="39" t="n"/>
      <c r="J263" s="39" t="n"/>
    </row>
    <row r="264" ht="15.75" customHeight="1" s="40">
      <c r="B264" s="39" t="n"/>
      <c r="D264" s="39" t="n"/>
      <c r="I264" s="39" t="n"/>
      <c r="J264" s="39" t="n"/>
    </row>
    <row r="265" ht="15.75" customHeight="1" s="40">
      <c r="B265" s="39" t="n"/>
      <c r="D265" s="39" t="n"/>
      <c r="I265" s="39" t="n"/>
      <c r="J265" s="39" t="n"/>
    </row>
    <row r="266" ht="15.75" customHeight="1" s="40">
      <c r="B266" s="39" t="n"/>
      <c r="D266" s="39" t="n"/>
      <c r="I266" s="39" t="n"/>
      <c r="J266" s="39" t="n"/>
    </row>
    <row r="267" ht="15.75" customHeight="1" s="40">
      <c r="B267" s="39" t="n"/>
      <c r="D267" s="39" t="n"/>
      <c r="I267" s="39" t="n"/>
      <c r="J267" s="39" t="n"/>
    </row>
    <row r="268" ht="15.75" customHeight="1" s="40">
      <c r="B268" s="39" t="n"/>
      <c r="D268" s="39" t="n"/>
      <c r="I268" s="39" t="n"/>
      <c r="J268" s="39" t="n"/>
    </row>
    <row r="269" ht="15.75" customHeight="1" s="40">
      <c r="B269" s="39" t="n"/>
      <c r="D269" s="39" t="n"/>
      <c r="I269" s="39" t="n"/>
      <c r="J269" s="39" t="n"/>
    </row>
    <row r="270" ht="15.75" customHeight="1" s="40">
      <c r="B270" s="39" t="n"/>
      <c r="D270" s="39" t="n"/>
      <c r="I270" s="39" t="n"/>
      <c r="J270" s="39" t="n"/>
    </row>
    <row r="271" ht="15.75" customHeight="1" s="40">
      <c r="B271" s="39" t="n"/>
      <c r="D271" s="39" t="n"/>
      <c r="I271" s="39" t="n"/>
      <c r="J271" s="39" t="n"/>
    </row>
    <row r="272" ht="15.75" customHeight="1" s="40">
      <c r="B272" s="39" t="n"/>
      <c r="D272" s="39" t="n"/>
      <c r="I272" s="39" t="n"/>
      <c r="J272" s="39" t="n"/>
    </row>
    <row r="273" ht="15.75" customHeight="1" s="40">
      <c r="B273" s="39" t="n"/>
      <c r="D273" s="39" t="n"/>
      <c r="I273" s="39" t="n"/>
      <c r="J273" s="39" t="n"/>
    </row>
    <row r="274" ht="15.75" customHeight="1" s="40">
      <c r="B274" s="39" t="n"/>
      <c r="D274" s="39" t="n"/>
      <c r="I274" s="39" t="n"/>
      <c r="J274" s="39" t="n"/>
    </row>
    <row r="275" ht="15.75" customHeight="1" s="40">
      <c r="B275" s="39" t="n"/>
      <c r="D275" s="39" t="n"/>
      <c r="I275" s="39" t="n"/>
      <c r="J275" s="39" t="n"/>
    </row>
    <row r="276" ht="15.75" customHeight="1" s="40">
      <c r="B276" s="39" t="n"/>
      <c r="D276" s="39" t="n"/>
      <c r="I276" s="39" t="n"/>
      <c r="J276" s="39" t="n"/>
    </row>
    <row r="277" ht="15.75" customHeight="1" s="40">
      <c r="B277" s="39" t="n"/>
      <c r="D277" s="39" t="n"/>
      <c r="I277" s="39" t="n"/>
      <c r="J277" s="39" t="n"/>
    </row>
    <row r="278" ht="15.75" customHeight="1" s="40">
      <c r="B278" s="39" t="n"/>
      <c r="D278" s="39" t="n"/>
      <c r="I278" s="39" t="n"/>
      <c r="J278" s="39" t="n"/>
    </row>
    <row r="279" ht="15.75" customHeight="1" s="40">
      <c r="B279" s="39" t="n"/>
      <c r="D279" s="39" t="n"/>
      <c r="I279" s="39" t="n"/>
      <c r="J279" s="39" t="n"/>
    </row>
    <row r="280" ht="15.75" customHeight="1" s="40">
      <c r="B280" s="39" t="n"/>
      <c r="D280" s="39" t="n"/>
      <c r="I280" s="39" t="n"/>
      <c r="J280" s="39" t="n"/>
    </row>
    <row r="281" ht="15.75" customHeight="1" s="40">
      <c r="B281" s="39" t="n"/>
      <c r="D281" s="39" t="n"/>
      <c r="I281" s="39" t="n"/>
      <c r="J281" s="39" t="n"/>
    </row>
    <row r="282" ht="15.75" customHeight="1" s="40">
      <c r="B282" s="39" t="n"/>
      <c r="D282" s="39" t="n"/>
      <c r="I282" s="39" t="n"/>
      <c r="J282" s="39" t="n"/>
    </row>
    <row r="283" ht="15.75" customHeight="1" s="40">
      <c r="B283" s="39" t="n"/>
      <c r="D283" s="39" t="n"/>
      <c r="I283" s="39" t="n"/>
      <c r="J283" s="39" t="n"/>
    </row>
    <row r="284" ht="15.75" customHeight="1" s="40">
      <c r="B284" s="39" t="n"/>
      <c r="D284" s="39" t="n"/>
      <c r="I284" s="39" t="n"/>
      <c r="J284" s="39" t="n"/>
    </row>
    <row r="285" ht="15.75" customHeight="1" s="40">
      <c r="B285" s="39" t="n"/>
      <c r="D285" s="39" t="n"/>
      <c r="I285" s="39" t="n"/>
      <c r="J285" s="39" t="n"/>
    </row>
    <row r="286" ht="15.75" customHeight="1" s="40">
      <c r="B286" s="39" t="n"/>
      <c r="D286" s="39" t="n"/>
      <c r="I286" s="39" t="n"/>
      <c r="J286" s="39" t="n"/>
    </row>
    <row r="287" ht="15.75" customHeight="1" s="40">
      <c r="B287" s="39" t="n"/>
      <c r="D287" s="39" t="n"/>
      <c r="I287" s="39" t="n"/>
      <c r="J287" s="39" t="n"/>
    </row>
    <row r="288" ht="15.75" customHeight="1" s="40">
      <c r="B288" s="39" t="n"/>
      <c r="D288" s="39" t="n"/>
      <c r="I288" s="39" t="n"/>
      <c r="J288" s="39" t="n"/>
    </row>
    <row r="289" ht="15.75" customHeight="1" s="40">
      <c r="B289" s="39" t="n"/>
      <c r="D289" s="39" t="n"/>
      <c r="I289" s="39" t="n"/>
      <c r="J289" s="39" t="n"/>
    </row>
    <row r="290" ht="15.75" customHeight="1" s="40">
      <c r="B290" s="39" t="n"/>
      <c r="D290" s="39" t="n"/>
      <c r="I290" s="39" t="n"/>
      <c r="J290" s="39" t="n"/>
    </row>
    <row r="291" ht="15.75" customHeight="1" s="40">
      <c r="B291" s="39" t="n"/>
      <c r="D291" s="39" t="n"/>
      <c r="I291" s="39" t="n"/>
      <c r="J291" s="39" t="n"/>
    </row>
    <row r="292" ht="15.75" customHeight="1" s="40">
      <c r="B292" s="39" t="n"/>
      <c r="D292" s="39" t="n"/>
      <c r="I292" s="39" t="n"/>
      <c r="J292" s="39" t="n"/>
    </row>
    <row r="293" ht="15.75" customHeight="1" s="40">
      <c r="B293" s="39" t="n"/>
      <c r="D293" s="39" t="n"/>
      <c r="I293" s="39" t="n"/>
      <c r="J293" s="39" t="n"/>
    </row>
    <row r="294" ht="15.75" customHeight="1" s="40">
      <c r="B294" s="39" t="n"/>
      <c r="D294" s="39" t="n"/>
      <c r="I294" s="39" t="n"/>
      <c r="J294" s="39" t="n"/>
    </row>
    <row r="295" ht="15.75" customHeight="1" s="40">
      <c r="B295" s="39" t="n"/>
      <c r="D295" s="39" t="n"/>
      <c r="I295" s="39" t="n"/>
      <c r="J295" s="39" t="n"/>
    </row>
    <row r="296" ht="15.75" customHeight="1" s="40">
      <c r="B296" s="39" t="n"/>
      <c r="D296" s="39" t="n"/>
      <c r="I296" s="39" t="n"/>
      <c r="J296" s="39" t="n"/>
    </row>
    <row r="297" ht="15.75" customHeight="1" s="40">
      <c r="B297" s="39" t="n"/>
      <c r="D297" s="39" t="n"/>
      <c r="I297" s="39" t="n"/>
      <c r="J297" s="39" t="n"/>
    </row>
    <row r="298" ht="15.75" customHeight="1" s="40">
      <c r="B298" s="39" t="n"/>
      <c r="D298" s="39" t="n"/>
      <c r="I298" s="39" t="n"/>
      <c r="J298" s="39" t="n"/>
    </row>
    <row r="299" ht="15.75" customHeight="1" s="40">
      <c r="B299" s="39" t="n"/>
      <c r="D299" s="39" t="n"/>
      <c r="I299" s="39" t="n"/>
      <c r="J299" s="39" t="n"/>
    </row>
    <row r="300" ht="15.75" customHeight="1" s="40">
      <c r="B300" s="39" t="n"/>
      <c r="D300" s="39" t="n"/>
      <c r="I300" s="39" t="n"/>
      <c r="J300" s="39" t="n"/>
    </row>
    <row r="301" ht="15.75" customHeight="1" s="40">
      <c r="B301" s="39" t="n"/>
      <c r="D301" s="39" t="n"/>
      <c r="I301" s="39" t="n"/>
      <c r="J301" s="39" t="n"/>
    </row>
    <row r="302" ht="15.75" customHeight="1" s="40">
      <c r="B302" s="39" t="n"/>
      <c r="D302" s="39" t="n"/>
      <c r="I302" s="39" t="n"/>
      <c r="J302" s="39" t="n"/>
    </row>
    <row r="303" ht="15.75" customHeight="1" s="40">
      <c r="B303" s="39" t="n"/>
      <c r="D303" s="39" t="n"/>
      <c r="I303" s="39" t="n"/>
      <c r="J303" s="39" t="n"/>
    </row>
    <row r="304" ht="15.75" customHeight="1" s="40">
      <c r="B304" s="39" t="n"/>
      <c r="D304" s="39" t="n"/>
      <c r="I304" s="39" t="n"/>
      <c r="J304" s="39" t="n"/>
    </row>
    <row r="305" ht="15.75" customHeight="1" s="40">
      <c r="B305" s="39" t="n"/>
      <c r="D305" s="39" t="n"/>
      <c r="I305" s="39" t="n"/>
      <c r="J305" s="39" t="n"/>
    </row>
    <row r="306" ht="15.75" customHeight="1" s="40">
      <c r="B306" s="39" t="n"/>
      <c r="D306" s="39" t="n"/>
      <c r="I306" s="39" t="n"/>
      <c r="J306" s="39" t="n"/>
    </row>
    <row r="307" ht="15.75" customHeight="1" s="40">
      <c r="B307" s="39" t="n"/>
      <c r="D307" s="39" t="n"/>
      <c r="I307" s="39" t="n"/>
      <c r="J307" s="39" t="n"/>
    </row>
    <row r="308" ht="15.75" customHeight="1" s="40">
      <c r="B308" s="39" t="n"/>
      <c r="D308" s="39" t="n"/>
      <c r="I308" s="39" t="n"/>
      <c r="J308" s="39" t="n"/>
    </row>
    <row r="309" ht="15.75" customHeight="1" s="40">
      <c r="B309" s="39" t="n"/>
      <c r="D309" s="39" t="n"/>
      <c r="I309" s="39" t="n"/>
      <c r="J309" s="39" t="n"/>
    </row>
    <row r="310" ht="15.75" customHeight="1" s="40">
      <c r="B310" s="39" t="n"/>
      <c r="D310" s="39" t="n"/>
      <c r="I310" s="39" t="n"/>
      <c r="J310" s="39" t="n"/>
    </row>
    <row r="311" ht="15.75" customHeight="1" s="40">
      <c r="B311" s="39" t="n"/>
      <c r="D311" s="39" t="n"/>
      <c r="I311" s="39" t="n"/>
      <c r="J311" s="39" t="n"/>
    </row>
    <row r="312" ht="15.75" customHeight="1" s="40">
      <c r="B312" s="39" t="n"/>
      <c r="D312" s="39" t="n"/>
      <c r="I312" s="39" t="n"/>
      <c r="J312" s="39" t="n"/>
    </row>
    <row r="313" ht="15.75" customHeight="1" s="40">
      <c r="B313" s="39" t="n"/>
      <c r="D313" s="39" t="n"/>
      <c r="I313" s="39" t="n"/>
      <c r="J313" s="39" t="n"/>
    </row>
    <row r="314" ht="15.75" customHeight="1" s="40">
      <c r="B314" s="39" t="n"/>
      <c r="D314" s="39" t="n"/>
      <c r="I314" s="39" t="n"/>
      <c r="J314" s="39" t="n"/>
    </row>
    <row r="315" ht="15.75" customHeight="1" s="40">
      <c r="B315" s="39" t="n"/>
      <c r="D315" s="39" t="n"/>
      <c r="I315" s="39" t="n"/>
      <c r="J315" s="39" t="n"/>
    </row>
    <row r="316" ht="15.75" customHeight="1" s="40">
      <c r="B316" s="39" t="n"/>
      <c r="D316" s="39" t="n"/>
      <c r="I316" s="39" t="n"/>
      <c r="J316" s="39" t="n"/>
    </row>
    <row r="317" ht="15.75" customHeight="1" s="40">
      <c r="B317" s="39" t="n"/>
      <c r="D317" s="39" t="n"/>
      <c r="I317" s="39" t="n"/>
      <c r="J317" s="39" t="n"/>
    </row>
    <row r="318" ht="15.75" customHeight="1" s="40">
      <c r="B318" s="39" t="n"/>
      <c r="D318" s="39" t="n"/>
      <c r="I318" s="39" t="n"/>
      <c r="J318" s="39" t="n"/>
    </row>
    <row r="319" ht="15.75" customHeight="1" s="40">
      <c r="B319" s="39" t="n"/>
      <c r="D319" s="39" t="n"/>
      <c r="I319" s="39" t="n"/>
      <c r="J319" s="39" t="n"/>
    </row>
    <row r="320" ht="15.75" customHeight="1" s="40">
      <c r="B320" s="39" t="n"/>
      <c r="D320" s="39" t="n"/>
      <c r="I320" s="39" t="n"/>
      <c r="J320" s="39" t="n"/>
    </row>
    <row r="321" ht="15.75" customHeight="1" s="40">
      <c r="B321" s="39" t="n"/>
      <c r="D321" s="39" t="n"/>
      <c r="I321" s="39" t="n"/>
      <c r="J321" s="39" t="n"/>
    </row>
    <row r="322" ht="15.75" customHeight="1" s="40">
      <c r="B322" s="39" t="n"/>
      <c r="D322" s="39" t="n"/>
      <c r="I322" s="39" t="n"/>
      <c r="J322" s="39" t="n"/>
    </row>
    <row r="323" ht="15.75" customHeight="1" s="40">
      <c r="B323" s="39" t="n"/>
      <c r="D323" s="39" t="n"/>
      <c r="I323" s="39" t="n"/>
      <c r="J323" s="39" t="n"/>
    </row>
    <row r="324" ht="15.75" customHeight="1" s="40">
      <c r="B324" s="39" t="n"/>
      <c r="D324" s="39" t="n"/>
      <c r="I324" s="39" t="n"/>
      <c r="J324" s="39" t="n"/>
    </row>
    <row r="325" ht="15.75" customHeight="1" s="40">
      <c r="B325" s="39" t="n"/>
      <c r="D325" s="39" t="n"/>
      <c r="I325" s="39" t="n"/>
      <c r="J325" s="39" t="n"/>
    </row>
    <row r="326" ht="15.75" customHeight="1" s="40">
      <c r="B326" s="39" t="n"/>
      <c r="D326" s="39" t="n"/>
      <c r="I326" s="39" t="n"/>
      <c r="J326" s="39" t="n"/>
    </row>
    <row r="327" ht="15.75" customHeight="1" s="40">
      <c r="B327" s="39" t="n"/>
      <c r="D327" s="39" t="n"/>
      <c r="I327" s="39" t="n"/>
      <c r="J327" s="39" t="n"/>
    </row>
    <row r="328" ht="15.75" customHeight="1" s="40">
      <c r="B328" s="39" t="n"/>
      <c r="D328" s="39" t="n"/>
      <c r="I328" s="39" t="n"/>
      <c r="J328" s="39" t="n"/>
    </row>
    <row r="329" ht="15.75" customHeight="1" s="40">
      <c r="B329" s="39" t="n"/>
      <c r="D329" s="39" t="n"/>
      <c r="I329" s="39" t="n"/>
      <c r="J329" s="39" t="n"/>
    </row>
    <row r="330" ht="15.75" customHeight="1" s="40">
      <c r="B330" s="39" t="n"/>
      <c r="D330" s="39" t="n"/>
      <c r="I330" s="39" t="n"/>
      <c r="J330" s="39" t="n"/>
    </row>
    <row r="331" ht="15.75" customHeight="1" s="40">
      <c r="B331" s="39" t="n"/>
      <c r="D331" s="39" t="n"/>
      <c r="I331" s="39" t="n"/>
      <c r="J331" s="39" t="n"/>
    </row>
    <row r="332" ht="15.75" customHeight="1" s="40">
      <c r="B332" s="39" t="n"/>
      <c r="D332" s="39" t="n"/>
      <c r="I332" s="39" t="n"/>
      <c r="J332" s="39" t="n"/>
    </row>
    <row r="333" ht="15.75" customHeight="1" s="40">
      <c r="B333" s="39" t="n"/>
      <c r="D333" s="39" t="n"/>
      <c r="I333" s="39" t="n"/>
      <c r="J333" s="39" t="n"/>
    </row>
    <row r="334" ht="15.75" customHeight="1" s="40">
      <c r="B334" s="39" t="n"/>
      <c r="D334" s="39" t="n"/>
      <c r="I334" s="39" t="n"/>
      <c r="J334" s="39" t="n"/>
    </row>
    <row r="335" ht="15.75" customHeight="1" s="40">
      <c r="B335" s="39" t="n"/>
      <c r="D335" s="39" t="n"/>
      <c r="I335" s="39" t="n"/>
      <c r="J335" s="39" t="n"/>
    </row>
    <row r="336" ht="15.75" customHeight="1" s="40">
      <c r="B336" s="39" t="n"/>
      <c r="D336" s="39" t="n"/>
      <c r="I336" s="39" t="n"/>
      <c r="J336" s="39" t="n"/>
    </row>
    <row r="337" ht="15.75" customHeight="1" s="40">
      <c r="B337" s="39" t="n"/>
      <c r="D337" s="39" t="n"/>
      <c r="I337" s="39" t="n"/>
      <c r="J337" s="39" t="n"/>
    </row>
    <row r="338" ht="15.75" customHeight="1" s="40">
      <c r="B338" s="39" t="n"/>
      <c r="D338" s="39" t="n"/>
      <c r="I338" s="39" t="n"/>
      <c r="J338" s="39" t="n"/>
    </row>
    <row r="339" ht="15.75" customHeight="1" s="40">
      <c r="B339" s="39" t="n"/>
      <c r="D339" s="39" t="n"/>
      <c r="I339" s="39" t="n"/>
      <c r="J339" s="39" t="n"/>
    </row>
    <row r="340" ht="15.75" customHeight="1" s="40">
      <c r="B340" s="39" t="n"/>
      <c r="D340" s="39" t="n"/>
      <c r="I340" s="39" t="n"/>
      <c r="J340" s="39" t="n"/>
    </row>
    <row r="341" ht="15.75" customHeight="1" s="40">
      <c r="B341" s="39" t="n"/>
      <c r="D341" s="39" t="n"/>
      <c r="I341" s="39" t="n"/>
      <c r="J341" s="39" t="n"/>
    </row>
    <row r="342" ht="15.75" customHeight="1" s="40">
      <c r="B342" s="39" t="n"/>
      <c r="D342" s="39" t="n"/>
      <c r="I342" s="39" t="n"/>
      <c r="J342" s="39" t="n"/>
    </row>
    <row r="343" ht="15.75" customHeight="1" s="40">
      <c r="B343" s="39" t="n"/>
      <c r="D343" s="39" t="n"/>
      <c r="I343" s="39" t="n"/>
      <c r="J343" s="39" t="n"/>
    </row>
    <row r="344" ht="15.75" customHeight="1" s="40">
      <c r="B344" s="39" t="n"/>
      <c r="D344" s="39" t="n"/>
      <c r="I344" s="39" t="n"/>
      <c r="J344" s="39" t="n"/>
    </row>
    <row r="345" ht="15.75" customHeight="1" s="40">
      <c r="B345" s="39" t="n"/>
      <c r="D345" s="39" t="n"/>
      <c r="I345" s="39" t="n"/>
      <c r="J345" s="39" t="n"/>
    </row>
    <row r="346" ht="15.75" customHeight="1" s="40">
      <c r="B346" s="39" t="n"/>
      <c r="D346" s="39" t="n"/>
      <c r="I346" s="39" t="n"/>
      <c r="J346" s="39" t="n"/>
    </row>
    <row r="347" ht="15.75" customHeight="1" s="40">
      <c r="B347" s="39" t="n"/>
      <c r="D347" s="39" t="n"/>
      <c r="I347" s="39" t="n"/>
      <c r="J347" s="39" t="n"/>
    </row>
    <row r="348" ht="15.75" customHeight="1" s="40">
      <c r="B348" s="39" t="n"/>
      <c r="D348" s="39" t="n"/>
      <c r="I348" s="39" t="n"/>
      <c r="J348" s="39" t="n"/>
    </row>
    <row r="349" ht="15.75" customHeight="1" s="40">
      <c r="B349" s="39" t="n"/>
      <c r="D349" s="39" t="n"/>
      <c r="I349" s="39" t="n"/>
      <c r="J349" s="39" t="n"/>
    </row>
    <row r="350" ht="15.75" customHeight="1" s="40">
      <c r="B350" s="39" t="n"/>
      <c r="D350" s="39" t="n"/>
      <c r="I350" s="39" t="n"/>
      <c r="J350" s="39" t="n"/>
    </row>
    <row r="351" ht="15.75" customHeight="1" s="40">
      <c r="B351" s="39" t="n"/>
      <c r="D351" s="39" t="n"/>
      <c r="I351" s="39" t="n"/>
      <c r="J351" s="39" t="n"/>
    </row>
    <row r="352" ht="15.75" customHeight="1" s="40">
      <c r="B352" s="39" t="n"/>
      <c r="D352" s="39" t="n"/>
      <c r="I352" s="39" t="n"/>
      <c r="J352" s="39" t="n"/>
    </row>
    <row r="353" ht="15.75" customHeight="1" s="40">
      <c r="B353" s="39" t="n"/>
      <c r="D353" s="39" t="n"/>
      <c r="I353" s="39" t="n"/>
      <c r="J353" s="39" t="n"/>
    </row>
    <row r="354" ht="15.75" customHeight="1" s="40">
      <c r="B354" s="39" t="n"/>
      <c r="D354" s="39" t="n"/>
      <c r="I354" s="39" t="n"/>
      <c r="J354" s="39" t="n"/>
    </row>
    <row r="355" ht="15.75" customHeight="1" s="40">
      <c r="B355" s="39" t="n"/>
      <c r="D355" s="39" t="n"/>
      <c r="I355" s="39" t="n"/>
      <c r="J355" s="39" t="n"/>
    </row>
    <row r="356" ht="15.75" customHeight="1" s="40">
      <c r="B356" s="39" t="n"/>
      <c r="D356" s="39" t="n"/>
      <c r="I356" s="39" t="n"/>
      <c r="J356" s="39" t="n"/>
    </row>
    <row r="357" ht="15.75" customHeight="1" s="40">
      <c r="B357" s="39" t="n"/>
      <c r="D357" s="39" t="n"/>
      <c r="I357" s="39" t="n"/>
      <c r="J357" s="39" t="n"/>
    </row>
    <row r="358" ht="15.75" customHeight="1" s="40">
      <c r="B358" s="39" t="n"/>
      <c r="D358" s="39" t="n"/>
      <c r="I358" s="39" t="n"/>
      <c r="J358" s="39" t="n"/>
    </row>
    <row r="359" ht="15.75" customHeight="1" s="40">
      <c r="B359" s="39" t="n"/>
      <c r="D359" s="39" t="n"/>
      <c r="I359" s="39" t="n"/>
      <c r="J359" s="39" t="n"/>
    </row>
    <row r="360" ht="15.75" customHeight="1" s="40">
      <c r="B360" s="39" t="n"/>
      <c r="D360" s="39" t="n"/>
      <c r="I360" s="39" t="n"/>
      <c r="J360" s="39" t="n"/>
    </row>
    <row r="361" ht="15.75" customHeight="1" s="40">
      <c r="B361" s="39" t="n"/>
      <c r="D361" s="39" t="n"/>
      <c r="I361" s="39" t="n"/>
      <c r="J361" s="39" t="n"/>
    </row>
    <row r="362" ht="15.75" customHeight="1" s="40">
      <c r="B362" s="39" t="n"/>
      <c r="D362" s="39" t="n"/>
      <c r="I362" s="39" t="n"/>
      <c r="J362" s="39" t="n"/>
    </row>
    <row r="363" ht="15.75" customHeight="1" s="40">
      <c r="B363" s="39" t="n"/>
      <c r="D363" s="39" t="n"/>
      <c r="I363" s="39" t="n"/>
      <c r="J363" s="39" t="n"/>
    </row>
    <row r="364" ht="15.75" customHeight="1" s="40">
      <c r="B364" s="39" t="n"/>
      <c r="D364" s="39" t="n"/>
      <c r="I364" s="39" t="n"/>
      <c r="J364" s="39" t="n"/>
    </row>
    <row r="365" ht="15.75" customHeight="1" s="40">
      <c r="B365" s="39" t="n"/>
      <c r="D365" s="39" t="n"/>
      <c r="I365" s="39" t="n"/>
      <c r="J365" s="39" t="n"/>
    </row>
    <row r="366" ht="15.75" customHeight="1" s="40">
      <c r="B366" s="39" t="n"/>
      <c r="D366" s="39" t="n"/>
      <c r="I366" s="39" t="n"/>
      <c r="J366" s="39" t="n"/>
    </row>
    <row r="367" ht="15.75" customHeight="1" s="40">
      <c r="B367" s="39" t="n"/>
      <c r="D367" s="39" t="n"/>
      <c r="I367" s="39" t="n"/>
      <c r="J367" s="39" t="n"/>
    </row>
    <row r="368" ht="15.75" customHeight="1" s="40">
      <c r="B368" s="39" t="n"/>
      <c r="D368" s="39" t="n"/>
      <c r="I368" s="39" t="n"/>
      <c r="J368" s="39" t="n"/>
    </row>
    <row r="369" ht="15.75" customHeight="1" s="40">
      <c r="B369" s="39" t="n"/>
      <c r="D369" s="39" t="n"/>
      <c r="I369" s="39" t="n"/>
      <c r="J369" s="39" t="n"/>
    </row>
    <row r="370" ht="15.75" customHeight="1" s="40">
      <c r="B370" s="39" t="n"/>
      <c r="D370" s="39" t="n"/>
      <c r="I370" s="39" t="n"/>
      <c r="J370" s="39" t="n"/>
    </row>
    <row r="371" ht="15.75" customHeight="1" s="40">
      <c r="B371" s="39" t="n"/>
      <c r="D371" s="39" t="n"/>
      <c r="I371" s="39" t="n"/>
      <c r="J371" s="39" t="n"/>
    </row>
    <row r="372" ht="15.75" customHeight="1" s="40">
      <c r="B372" s="39" t="n"/>
      <c r="D372" s="39" t="n"/>
      <c r="I372" s="39" t="n"/>
      <c r="J372" s="39" t="n"/>
    </row>
    <row r="373" ht="15.75" customHeight="1" s="40">
      <c r="B373" s="39" t="n"/>
      <c r="D373" s="39" t="n"/>
      <c r="I373" s="39" t="n"/>
      <c r="J373" s="39" t="n"/>
    </row>
    <row r="374" ht="15.75" customHeight="1" s="40">
      <c r="B374" s="39" t="n"/>
      <c r="D374" s="39" t="n"/>
      <c r="I374" s="39" t="n"/>
      <c r="J374" s="39" t="n"/>
    </row>
    <row r="375" ht="15.75" customHeight="1" s="40">
      <c r="B375" s="39" t="n"/>
      <c r="D375" s="39" t="n"/>
      <c r="I375" s="39" t="n"/>
      <c r="J375" s="39" t="n"/>
    </row>
    <row r="376" ht="15.75" customHeight="1" s="40">
      <c r="B376" s="39" t="n"/>
      <c r="D376" s="39" t="n"/>
      <c r="I376" s="39" t="n"/>
      <c r="J376" s="39" t="n"/>
    </row>
    <row r="377" ht="15.75" customHeight="1" s="40">
      <c r="B377" s="39" t="n"/>
      <c r="D377" s="39" t="n"/>
      <c r="I377" s="39" t="n"/>
      <c r="J377" s="39" t="n"/>
    </row>
    <row r="378" ht="15.75" customHeight="1" s="40">
      <c r="B378" s="39" t="n"/>
      <c r="D378" s="39" t="n"/>
      <c r="I378" s="39" t="n"/>
      <c r="J378" s="39" t="n"/>
    </row>
    <row r="379" ht="15.75" customHeight="1" s="40">
      <c r="B379" s="39" t="n"/>
      <c r="D379" s="39" t="n"/>
      <c r="I379" s="39" t="n"/>
      <c r="J379" s="39" t="n"/>
    </row>
    <row r="380" ht="15.75" customHeight="1" s="40">
      <c r="B380" s="39" t="n"/>
      <c r="D380" s="39" t="n"/>
      <c r="I380" s="39" t="n"/>
      <c r="J380" s="39" t="n"/>
    </row>
    <row r="381" ht="15.75" customHeight="1" s="40">
      <c r="B381" s="39" t="n"/>
      <c r="D381" s="39" t="n"/>
      <c r="I381" s="39" t="n"/>
      <c r="J381" s="39" t="n"/>
    </row>
    <row r="382" ht="15.75" customHeight="1" s="40">
      <c r="B382" s="39" t="n"/>
      <c r="D382" s="39" t="n"/>
      <c r="I382" s="39" t="n"/>
      <c r="J382" s="39" t="n"/>
    </row>
    <row r="383" ht="15.75" customHeight="1" s="40">
      <c r="B383" s="39" t="n"/>
      <c r="D383" s="39" t="n"/>
      <c r="I383" s="39" t="n"/>
      <c r="J383" s="39" t="n"/>
    </row>
    <row r="384" ht="15.75" customHeight="1" s="40">
      <c r="B384" s="39" t="n"/>
      <c r="D384" s="39" t="n"/>
      <c r="I384" s="39" t="n"/>
      <c r="J384" s="39" t="n"/>
    </row>
    <row r="385" ht="15.75" customHeight="1" s="40">
      <c r="B385" s="39" t="n"/>
      <c r="D385" s="39" t="n"/>
      <c r="I385" s="39" t="n"/>
      <c r="J385" s="39" t="n"/>
    </row>
    <row r="386" ht="15.75" customHeight="1" s="40">
      <c r="B386" s="39" t="n"/>
      <c r="D386" s="39" t="n"/>
      <c r="I386" s="39" t="n"/>
      <c r="J386" s="39" t="n"/>
    </row>
    <row r="387" ht="15.75" customHeight="1" s="40">
      <c r="B387" s="39" t="n"/>
      <c r="D387" s="39" t="n"/>
      <c r="I387" s="39" t="n"/>
      <c r="J387" s="39" t="n"/>
    </row>
    <row r="388" ht="15.75" customHeight="1" s="40">
      <c r="B388" s="39" t="n"/>
      <c r="D388" s="39" t="n"/>
      <c r="I388" s="39" t="n"/>
      <c r="J388" s="39" t="n"/>
    </row>
    <row r="389" ht="15.75" customHeight="1" s="40">
      <c r="B389" s="39" t="n"/>
      <c r="D389" s="39" t="n"/>
      <c r="I389" s="39" t="n"/>
      <c r="J389" s="39" t="n"/>
    </row>
    <row r="390" ht="15.75" customHeight="1" s="40">
      <c r="B390" s="39" t="n"/>
      <c r="D390" s="39" t="n"/>
      <c r="I390" s="39" t="n"/>
      <c r="J390" s="39" t="n"/>
    </row>
    <row r="391" ht="15.75" customHeight="1" s="40">
      <c r="B391" s="39" t="n"/>
      <c r="D391" s="39" t="n"/>
      <c r="I391" s="39" t="n"/>
      <c r="J391" s="39" t="n"/>
    </row>
    <row r="392" ht="15.75" customHeight="1" s="40">
      <c r="B392" s="39" t="n"/>
      <c r="D392" s="39" t="n"/>
      <c r="I392" s="39" t="n"/>
      <c r="J392" s="39" t="n"/>
    </row>
    <row r="393" ht="15.75" customHeight="1" s="40">
      <c r="B393" s="39" t="n"/>
      <c r="D393" s="39" t="n"/>
      <c r="I393" s="39" t="n"/>
      <c r="J393" s="39" t="n"/>
    </row>
    <row r="394" ht="15.75" customHeight="1" s="40">
      <c r="B394" s="39" t="n"/>
      <c r="D394" s="39" t="n"/>
      <c r="I394" s="39" t="n"/>
      <c r="J394" s="39" t="n"/>
    </row>
    <row r="395" ht="15.75" customHeight="1" s="40">
      <c r="B395" s="39" t="n"/>
      <c r="D395" s="39" t="n"/>
      <c r="I395" s="39" t="n"/>
      <c r="J395" s="39" t="n"/>
    </row>
    <row r="396" ht="15.75" customHeight="1" s="40">
      <c r="B396" s="39" t="n"/>
      <c r="D396" s="39" t="n"/>
      <c r="I396" s="39" t="n"/>
      <c r="J396" s="39" t="n"/>
    </row>
    <row r="397" ht="15.75" customHeight="1" s="40">
      <c r="B397" s="39" t="n"/>
      <c r="D397" s="39" t="n"/>
      <c r="I397" s="39" t="n"/>
      <c r="J397" s="39" t="n"/>
    </row>
    <row r="398" ht="15.75" customHeight="1" s="40">
      <c r="B398" s="39" t="n"/>
      <c r="D398" s="39" t="n"/>
      <c r="I398" s="39" t="n"/>
      <c r="J398" s="39" t="n"/>
    </row>
    <row r="399" ht="15.75" customHeight="1" s="40">
      <c r="B399" s="39" t="n"/>
      <c r="D399" s="39" t="n"/>
      <c r="I399" s="39" t="n"/>
      <c r="J399" s="39" t="n"/>
    </row>
    <row r="400" ht="15.75" customHeight="1" s="40">
      <c r="B400" s="39" t="n"/>
      <c r="D400" s="39" t="n"/>
      <c r="I400" s="39" t="n"/>
      <c r="J400" s="39" t="n"/>
    </row>
    <row r="401" ht="15.75" customHeight="1" s="40"/>
    <row r="402" ht="15.75" customHeight="1" s="40"/>
    <row r="403" ht="15.75" customHeight="1" s="40"/>
    <row r="404" ht="15.75" customHeight="1" s="40"/>
    <row r="405" ht="15.75" customHeight="1" s="40"/>
    <row r="406" ht="15.75" customHeight="1" s="40"/>
    <row r="407" ht="15.75" customHeight="1" s="40"/>
    <row r="408" ht="15.75" customHeight="1" s="40"/>
    <row r="409" ht="15.75" customHeight="1" s="40"/>
    <row r="410" ht="15.75" customHeight="1" s="40"/>
    <row r="411" ht="15.75" customHeight="1" s="40"/>
    <row r="412" ht="15.75" customHeight="1" s="40"/>
    <row r="413" ht="15.75" customHeight="1" s="40"/>
    <row r="414" ht="15.75" customHeight="1" s="40"/>
    <row r="415" ht="15.75" customHeight="1" s="40"/>
    <row r="416" ht="15.75" customHeight="1" s="40"/>
    <row r="417" ht="15.75" customHeight="1" s="40"/>
    <row r="418" ht="15.75" customHeight="1" s="40"/>
    <row r="419" ht="15.75" customHeight="1" s="40"/>
    <row r="420" ht="15.75" customHeight="1" s="40"/>
    <row r="421" ht="15.75" customHeight="1" s="40"/>
    <row r="422" ht="15.75" customHeight="1" s="40"/>
    <row r="423" ht="15.75" customHeight="1" s="40"/>
    <row r="424" ht="15.75" customHeight="1" s="40"/>
    <row r="425" ht="15.75" customHeight="1" s="40"/>
    <row r="426" ht="15.75" customHeight="1" s="40"/>
    <row r="427" ht="15.75" customHeight="1" s="40"/>
    <row r="428" ht="15.75" customHeight="1" s="40"/>
    <row r="429" ht="15.75" customHeight="1" s="40"/>
    <row r="430" ht="15.75" customHeight="1" s="40"/>
    <row r="431" ht="15.75" customHeight="1" s="40"/>
    <row r="432" ht="15.75" customHeight="1" s="40"/>
    <row r="433" ht="15.75" customHeight="1" s="40"/>
    <row r="434" ht="15.75" customHeight="1" s="40"/>
    <row r="435" ht="15.75" customHeight="1" s="40"/>
    <row r="436" ht="15.75" customHeight="1" s="40"/>
    <row r="437" ht="15.75" customHeight="1" s="40"/>
    <row r="438" ht="15.75" customHeight="1" s="40"/>
    <row r="439" ht="15.75" customHeight="1" s="40"/>
    <row r="440" ht="15.75" customHeight="1" s="40"/>
    <row r="441" ht="15.75" customHeight="1" s="40"/>
    <row r="442" ht="15.75" customHeight="1" s="40"/>
    <row r="443" ht="15.75" customHeight="1" s="40"/>
    <row r="444" ht="15.75" customHeight="1" s="40"/>
    <row r="445" ht="15.75" customHeight="1" s="40"/>
    <row r="446" ht="15.75" customHeight="1" s="40"/>
    <row r="447" ht="15.75" customHeight="1" s="40"/>
    <row r="448" ht="15.75" customHeight="1" s="40"/>
    <row r="449" ht="15.75" customHeight="1" s="40"/>
    <row r="450" ht="15.75" customHeight="1" s="40"/>
    <row r="451" ht="15.75" customHeight="1" s="40"/>
    <row r="452" ht="15.75" customHeight="1" s="40"/>
    <row r="453" ht="15.75" customHeight="1" s="40"/>
    <row r="454" ht="15.75" customHeight="1" s="40"/>
    <row r="455" ht="15.75" customHeight="1" s="40"/>
    <row r="456" ht="15.75" customHeight="1" s="40"/>
    <row r="457" ht="15.75" customHeight="1" s="40"/>
    <row r="458" ht="15.75" customHeight="1" s="40"/>
    <row r="459" ht="15.75" customHeight="1" s="40"/>
    <row r="460" ht="15.75" customHeight="1" s="40"/>
    <row r="461" ht="15.75" customHeight="1" s="40"/>
    <row r="462" ht="15.75" customHeight="1" s="40"/>
    <row r="463" ht="15.75" customHeight="1" s="40"/>
    <row r="464" ht="15.75" customHeight="1" s="40"/>
    <row r="465" ht="15.75" customHeight="1" s="40"/>
    <row r="466" ht="15.75" customHeight="1" s="40"/>
    <row r="467" ht="15.75" customHeight="1" s="40"/>
    <row r="468" ht="15.75" customHeight="1" s="40"/>
    <row r="469" ht="15.75" customHeight="1" s="40"/>
    <row r="470" ht="15.75" customHeight="1" s="40"/>
    <row r="471" ht="15.75" customHeight="1" s="40"/>
    <row r="472" ht="15.75" customHeight="1" s="40"/>
    <row r="473" ht="15.75" customHeight="1" s="40"/>
    <row r="474" ht="15.75" customHeight="1" s="40"/>
    <row r="475" ht="15.75" customHeight="1" s="40"/>
    <row r="476" ht="15.75" customHeight="1" s="40"/>
    <row r="477" ht="15.75" customHeight="1" s="40"/>
    <row r="478" ht="15.75" customHeight="1" s="40"/>
    <row r="479" ht="15.75" customHeight="1" s="40"/>
    <row r="480" ht="15.75" customHeight="1" s="40"/>
    <row r="481" ht="15.75" customHeight="1" s="40"/>
    <row r="482" ht="15.75" customHeight="1" s="40"/>
    <row r="483" ht="15.75" customHeight="1" s="40"/>
    <row r="484" ht="15.75" customHeight="1" s="40"/>
    <row r="485" ht="15.75" customHeight="1" s="40"/>
    <row r="486" ht="15.75" customHeight="1" s="40"/>
    <row r="487" ht="15.75" customHeight="1" s="40"/>
    <row r="488" ht="15.75" customHeight="1" s="40"/>
    <row r="489" ht="15.75" customHeight="1" s="40"/>
    <row r="490" ht="15.75" customHeight="1" s="40"/>
    <row r="491" ht="15.75" customHeight="1" s="40"/>
    <row r="492" ht="15.75" customHeight="1" s="40"/>
    <row r="493" ht="15.75" customHeight="1" s="40"/>
    <row r="494" ht="15.75" customHeight="1" s="40"/>
    <row r="495" ht="15.75" customHeight="1" s="40"/>
    <row r="496" ht="15.75" customHeight="1" s="40"/>
    <row r="497" ht="15.75" customHeight="1" s="40"/>
    <row r="498" ht="15.75" customHeight="1" s="40"/>
    <row r="499" ht="15.75" customHeight="1" s="40"/>
    <row r="500" ht="15.75" customHeight="1" s="40"/>
    <row r="501" ht="15.75" customHeight="1" s="40"/>
    <row r="502" ht="15.75" customHeight="1" s="40"/>
    <row r="503" ht="15.75" customHeight="1" s="40"/>
    <row r="504" ht="15.75" customHeight="1" s="40"/>
    <row r="505" ht="15.75" customHeight="1" s="40"/>
    <row r="506" ht="15.75" customHeight="1" s="40"/>
    <row r="507" ht="15.75" customHeight="1" s="40"/>
    <row r="508" ht="15.75" customHeight="1" s="40"/>
    <row r="509" ht="15.75" customHeight="1" s="40"/>
    <row r="510" ht="15.75" customHeight="1" s="40"/>
    <row r="511" ht="15.75" customHeight="1" s="40"/>
    <row r="512" ht="15.75" customHeight="1" s="40"/>
    <row r="513" ht="15.75" customHeight="1" s="40"/>
    <row r="514" ht="15.75" customHeight="1" s="40"/>
    <row r="515" ht="15.75" customHeight="1" s="40"/>
    <row r="516" ht="15.75" customHeight="1" s="40"/>
    <row r="517" ht="15.75" customHeight="1" s="40"/>
    <row r="518" ht="15.75" customHeight="1" s="40"/>
    <row r="519" ht="15.75" customHeight="1" s="40"/>
    <row r="520" ht="15.75" customHeight="1" s="40"/>
    <row r="521" ht="15.75" customHeight="1" s="40"/>
    <row r="522" ht="15.75" customHeight="1" s="40"/>
    <row r="523" ht="15.75" customHeight="1" s="40"/>
    <row r="524" ht="15.75" customHeight="1" s="40"/>
    <row r="525" ht="15.75" customHeight="1" s="40"/>
    <row r="526" ht="15.75" customHeight="1" s="40"/>
    <row r="527" ht="15.75" customHeight="1" s="40"/>
    <row r="528" ht="15.75" customHeight="1" s="40"/>
    <row r="529" ht="15.75" customHeight="1" s="40"/>
    <row r="530" ht="15.75" customHeight="1" s="40"/>
    <row r="531" ht="15.75" customHeight="1" s="40"/>
    <row r="532" ht="15.75" customHeight="1" s="40"/>
    <row r="533" ht="15.75" customHeight="1" s="40"/>
    <row r="534" ht="15.75" customHeight="1" s="40"/>
    <row r="535" ht="15.75" customHeight="1" s="40"/>
    <row r="536" ht="15.75" customHeight="1" s="40"/>
    <row r="537" ht="15.75" customHeight="1" s="40"/>
    <row r="538" ht="15.75" customHeight="1" s="40"/>
    <row r="539" ht="15.75" customHeight="1" s="40"/>
    <row r="540" ht="15.75" customHeight="1" s="40"/>
    <row r="541" ht="15.75" customHeight="1" s="40"/>
    <row r="542" ht="15.75" customHeight="1" s="40"/>
    <row r="543" ht="15.75" customHeight="1" s="40"/>
    <row r="544" ht="15.75" customHeight="1" s="40"/>
    <row r="545" ht="15.75" customHeight="1" s="40"/>
    <row r="546" ht="15.75" customHeight="1" s="40"/>
    <row r="547" ht="15.75" customHeight="1" s="40"/>
    <row r="548" ht="15.75" customHeight="1" s="40"/>
    <row r="549" ht="15.75" customHeight="1" s="40"/>
    <row r="550" ht="15.75" customHeight="1" s="40"/>
    <row r="551" ht="15.75" customHeight="1" s="40"/>
    <row r="552" ht="15.75" customHeight="1" s="40"/>
    <row r="553" ht="15.75" customHeight="1" s="40"/>
    <row r="554" ht="15.75" customHeight="1" s="40"/>
    <row r="555" ht="15.75" customHeight="1" s="40"/>
    <row r="556" ht="15.75" customHeight="1" s="40"/>
    <row r="557" ht="15.75" customHeight="1" s="40"/>
    <row r="558" ht="15.75" customHeight="1" s="40"/>
    <row r="559" ht="15.75" customHeight="1" s="40"/>
    <row r="560" ht="15.75" customHeight="1" s="40"/>
    <row r="561" ht="15.75" customHeight="1" s="40"/>
    <row r="562" ht="15.75" customHeight="1" s="40"/>
    <row r="563" ht="15.75" customHeight="1" s="40"/>
    <row r="564" ht="15.75" customHeight="1" s="40"/>
    <row r="565" ht="15.75" customHeight="1" s="40"/>
    <row r="566" ht="15.75" customHeight="1" s="40"/>
    <row r="567" ht="15.75" customHeight="1" s="40"/>
    <row r="568" ht="15.75" customHeight="1" s="40"/>
    <row r="569" ht="15.75" customHeight="1" s="40"/>
    <row r="570" ht="15.75" customHeight="1" s="40"/>
    <row r="571" ht="15.75" customHeight="1" s="40"/>
    <row r="572" ht="15.75" customHeight="1" s="40"/>
    <row r="573" ht="15.75" customHeight="1" s="40"/>
    <row r="574" ht="15.75" customHeight="1" s="40"/>
    <row r="575" ht="15.75" customHeight="1" s="40"/>
    <row r="576" ht="15.75" customHeight="1" s="40"/>
    <row r="577" ht="15.75" customHeight="1" s="40"/>
    <row r="578" ht="15.75" customHeight="1" s="40"/>
    <row r="579" ht="15.75" customHeight="1" s="40"/>
    <row r="580" ht="15.75" customHeight="1" s="40"/>
    <row r="581" ht="15.75" customHeight="1" s="40"/>
    <row r="582" ht="15.75" customHeight="1" s="40"/>
    <row r="583" ht="15.75" customHeight="1" s="40"/>
    <row r="584" ht="15.75" customHeight="1" s="40"/>
    <row r="585" ht="15.75" customHeight="1" s="40"/>
    <row r="586" ht="15.75" customHeight="1" s="40"/>
    <row r="587" ht="15.75" customHeight="1" s="40"/>
    <row r="588" ht="15.75" customHeight="1" s="40"/>
    <row r="589" ht="15.75" customHeight="1" s="40"/>
    <row r="590" ht="15.75" customHeight="1" s="40"/>
    <row r="591" ht="15.75" customHeight="1" s="40"/>
    <row r="592" ht="15.75" customHeight="1" s="40"/>
    <row r="593" ht="15.75" customHeight="1" s="40"/>
    <row r="594" ht="15.75" customHeight="1" s="40"/>
    <row r="595" ht="15.75" customHeight="1" s="40"/>
    <row r="596" ht="15.75" customHeight="1" s="40"/>
    <row r="597" ht="15.75" customHeight="1" s="40"/>
    <row r="598" ht="15.75" customHeight="1" s="40"/>
    <row r="599" ht="15.75" customHeight="1" s="40"/>
    <row r="600" ht="15.75" customHeight="1" s="40"/>
    <row r="601" ht="15.75" customHeight="1" s="40"/>
    <row r="602" ht="15.75" customHeight="1" s="40"/>
    <row r="603" ht="15.75" customHeight="1" s="40"/>
    <row r="604" ht="15.75" customHeight="1" s="40"/>
    <row r="605" ht="15.75" customHeight="1" s="40"/>
    <row r="606" ht="15.75" customHeight="1" s="40"/>
    <row r="607" ht="15.75" customHeight="1" s="40"/>
    <row r="608" ht="15.75" customHeight="1" s="40"/>
    <row r="609" ht="15.75" customHeight="1" s="40"/>
    <row r="610" ht="15.75" customHeight="1" s="40"/>
    <row r="611" ht="15.75" customHeight="1" s="40"/>
    <row r="612" ht="15.75" customHeight="1" s="40"/>
    <row r="613" ht="15.75" customHeight="1" s="40"/>
    <row r="614" ht="15.75" customHeight="1" s="40"/>
    <row r="615" ht="15.75" customHeight="1" s="40"/>
    <row r="616" ht="15.75" customHeight="1" s="40"/>
    <row r="617" ht="15.75" customHeight="1" s="40"/>
    <row r="618" ht="15.75" customHeight="1" s="40"/>
    <row r="619" ht="15.75" customHeight="1" s="40"/>
    <row r="620" ht="15.75" customHeight="1" s="40"/>
    <row r="621" ht="15.75" customHeight="1" s="40"/>
    <row r="622" ht="15.75" customHeight="1" s="40"/>
    <row r="623" ht="15.75" customHeight="1" s="40"/>
    <row r="624" ht="15.75" customHeight="1" s="40"/>
    <row r="625" ht="15.75" customHeight="1" s="40"/>
    <row r="626" ht="15.75" customHeight="1" s="40"/>
    <row r="627" ht="15.75" customHeight="1" s="40"/>
    <row r="628" ht="15.75" customHeight="1" s="40"/>
    <row r="629" ht="15.75" customHeight="1" s="40"/>
    <row r="630" ht="15.75" customHeight="1" s="40"/>
    <row r="631" ht="15.75" customHeight="1" s="40"/>
    <row r="632" ht="15.75" customHeight="1" s="40"/>
    <row r="633" ht="15.75" customHeight="1" s="40"/>
    <row r="634" ht="15.75" customHeight="1" s="40"/>
    <row r="635" ht="15.75" customHeight="1" s="40"/>
    <row r="636" ht="15.75" customHeight="1" s="40"/>
    <row r="637" ht="15.75" customHeight="1" s="40"/>
    <row r="638" ht="15.75" customHeight="1" s="40"/>
    <row r="639" ht="15.75" customHeight="1" s="40"/>
    <row r="640" ht="15.75" customHeight="1" s="40"/>
    <row r="641" ht="15.75" customHeight="1" s="40"/>
    <row r="642" ht="15.75" customHeight="1" s="40"/>
    <row r="643" ht="15.75" customHeight="1" s="40"/>
    <row r="644" ht="15.75" customHeight="1" s="40"/>
    <row r="645" ht="15.75" customHeight="1" s="40"/>
    <row r="646" ht="15.75" customHeight="1" s="40"/>
    <row r="647" ht="15.75" customHeight="1" s="40"/>
    <row r="648" ht="15.75" customHeight="1" s="40"/>
    <row r="649" ht="15.75" customHeight="1" s="40"/>
    <row r="650" ht="15.75" customHeight="1" s="40"/>
    <row r="651" ht="15.75" customHeight="1" s="40"/>
    <row r="652" ht="15.75" customHeight="1" s="40"/>
    <row r="653" ht="15.75" customHeight="1" s="40"/>
    <row r="654" ht="15.75" customHeight="1" s="40"/>
    <row r="655" ht="15.75" customHeight="1" s="40"/>
    <row r="656" ht="15.75" customHeight="1" s="40"/>
    <row r="657" ht="15.75" customHeight="1" s="40"/>
    <row r="658" ht="15.75" customHeight="1" s="40"/>
    <row r="659" ht="15.75" customHeight="1" s="40"/>
    <row r="660" ht="15.75" customHeight="1" s="40"/>
    <row r="661" ht="15.75" customHeight="1" s="40"/>
    <row r="662" ht="15.75" customHeight="1" s="40"/>
    <row r="663" ht="15.75" customHeight="1" s="40"/>
    <row r="664" ht="15.75" customHeight="1" s="40"/>
    <row r="665" ht="15.75" customHeight="1" s="40"/>
    <row r="666" ht="15.75" customHeight="1" s="40"/>
    <row r="667" ht="15.75" customHeight="1" s="40"/>
    <row r="668" ht="15.75" customHeight="1" s="40"/>
    <row r="669" ht="15.75" customHeight="1" s="40"/>
    <row r="670" ht="15.75" customHeight="1" s="40"/>
    <row r="671" ht="15.75" customHeight="1" s="40"/>
    <row r="672" ht="15.75" customHeight="1" s="40"/>
    <row r="673" ht="15.75" customHeight="1" s="40"/>
    <row r="674" ht="15.75" customHeight="1" s="40"/>
    <row r="675" ht="15.75" customHeight="1" s="40"/>
    <row r="676" ht="15.75" customHeight="1" s="40"/>
    <row r="677" ht="15.75" customHeight="1" s="40"/>
    <row r="678" ht="15.75" customHeight="1" s="40"/>
    <row r="679" ht="15.75" customHeight="1" s="40"/>
    <row r="680" ht="15.75" customHeight="1" s="40"/>
    <row r="681" ht="15.75" customHeight="1" s="40"/>
    <row r="682" ht="15.75" customHeight="1" s="40"/>
    <row r="683" ht="15.75" customHeight="1" s="40"/>
    <row r="684" ht="15.75" customHeight="1" s="40"/>
    <row r="685" ht="15.75" customHeight="1" s="40"/>
    <row r="686" ht="15.75" customHeight="1" s="40"/>
    <row r="687" ht="15.75" customHeight="1" s="40"/>
    <row r="688" ht="15.75" customHeight="1" s="40"/>
    <row r="689" ht="15.75" customHeight="1" s="40"/>
    <row r="690" ht="15.75" customHeight="1" s="40"/>
    <row r="691" ht="15.75" customHeight="1" s="40"/>
    <row r="692" ht="15.75" customHeight="1" s="40"/>
    <row r="693" ht="15.75" customHeight="1" s="40"/>
    <row r="694" ht="15.75" customHeight="1" s="40"/>
    <row r="695" ht="15.75" customHeight="1" s="40"/>
    <row r="696" ht="15.75" customHeight="1" s="40"/>
    <row r="697" ht="15.75" customHeight="1" s="40"/>
    <row r="698" ht="15.75" customHeight="1" s="40"/>
    <row r="699" ht="15.75" customHeight="1" s="40"/>
    <row r="700" ht="15.75" customHeight="1" s="40"/>
    <row r="701" ht="15.75" customHeight="1" s="40"/>
    <row r="702" ht="15.75" customHeight="1" s="40"/>
    <row r="703" ht="15.75" customHeight="1" s="40"/>
    <row r="704" ht="15.75" customHeight="1" s="40"/>
    <row r="705" ht="15.75" customHeight="1" s="40"/>
    <row r="706" ht="15.75" customHeight="1" s="40"/>
    <row r="707" ht="15.75" customHeight="1" s="40"/>
    <row r="708" ht="15.75" customHeight="1" s="40"/>
    <row r="709" ht="15.75" customHeight="1" s="40"/>
    <row r="710" ht="15.75" customHeight="1" s="40"/>
    <row r="711" ht="15.75" customHeight="1" s="40"/>
    <row r="712" ht="15.75" customHeight="1" s="40"/>
    <row r="713" ht="15.75" customHeight="1" s="40"/>
    <row r="714" ht="15.75" customHeight="1" s="40"/>
    <row r="715" ht="15.75" customHeight="1" s="40"/>
    <row r="716" ht="15.75" customHeight="1" s="40"/>
    <row r="717" ht="15.75" customHeight="1" s="40"/>
    <row r="718" ht="15.75" customHeight="1" s="40"/>
    <row r="719" ht="15.75" customHeight="1" s="40"/>
    <row r="720" ht="15.75" customHeight="1" s="40"/>
    <row r="721" ht="15.75" customHeight="1" s="40"/>
    <row r="722" ht="15.75" customHeight="1" s="40"/>
    <row r="723" ht="15.75" customHeight="1" s="40"/>
    <row r="724" ht="15.75" customHeight="1" s="40"/>
    <row r="725" ht="15.75" customHeight="1" s="40"/>
    <row r="726" ht="15.75" customHeight="1" s="40"/>
    <row r="727" ht="15.75" customHeight="1" s="40"/>
    <row r="728" ht="15.75" customHeight="1" s="40"/>
    <row r="729" ht="15.75" customHeight="1" s="40"/>
    <row r="730" ht="15.75" customHeight="1" s="40"/>
    <row r="731" ht="15.75" customHeight="1" s="40"/>
    <row r="732" ht="15.75" customHeight="1" s="40"/>
    <row r="733" ht="15.75" customHeight="1" s="40"/>
    <row r="734" ht="15.75" customHeight="1" s="40"/>
    <row r="735" ht="15.75" customHeight="1" s="40"/>
    <row r="736" ht="15.75" customHeight="1" s="40"/>
    <row r="737" ht="15.75" customHeight="1" s="40"/>
    <row r="738" ht="15.75" customHeight="1" s="40"/>
    <row r="739" ht="15.75" customHeight="1" s="40"/>
    <row r="740" ht="15.75" customHeight="1" s="40"/>
    <row r="741" ht="15.75" customHeight="1" s="40"/>
    <row r="742" ht="15.75" customHeight="1" s="40"/>
    <row r="743" ht="15.75" customHeight="1" s="40"/>
    <row r="744" ht="15.75" customHeight="1" s="40"/>
    <row r="745" ht="15.75" customHeight="1" s="40"/>
    <row r="746" ht="15.75" customHeight="1" s="40"/>
    <row r="747" ht="15.75" customHeight="1" s="40"/>
    <row r="748" ht="15.75" customHeight="1" s="40"/>
    <row r="749" ht="15.75" customHeight="1" s="40"/>
    <row r="750" ht="15.75" customHeight="1" s="40"/>
    <row r="751" ht="15.75" customHeight="1" s="40"/>
    <row r="752" ht="15.75" customHeight="1" s="40"/>
    <row r="753" ht="15.75" customHeight="1" s="40"/>
    <row r="754" ht="15.75" customHeight="1" s="40"/>
    <row r="755" ht="15.75" customHeight="1" s="40"/>
    <row r="756" ht="15.75" customHeight="1" s="40"/>
    <row r="757" ht="15.75" customHeight="1" s="40"/>
    <row r="758" ht="15.75" customHeight="1" s="40"/>
    <row r="759" ht="15.75" customHeight="1" s="40"/>
    <row r="760" ht="15.75" customHeight="1" s="40"/>
    <row r="761" ht="15.75" customHeight="1" s="40"/>
    <row r="762" ht="15.75" customHeight="1" s="40"/>
    <row r="763" ht="15.75" customHeight="1" s="40"/>
    <row r="764" ht="15.75" customHeight="1" s="40"/>
    <row r="765" ht="15.75" customHeight="1" s="40"/>
    <row r="766" ht="15.75" customHeight="1" s="40"/>
    <row r="767" ht="15.75" customHeight="1" s="40"/>
    <row r="768" ht="15.75" customHeight="1" s="40"/>
    <row r="769" ht="15.75" customHeight="1" s="40"/>
    <row r="770" ht="15.75" customHeight="1" s="40"/>
    <row r="771" ht="15.75" customHeight="1" s="40"/>
    <row r="772" ht="15.75" customHeight="1" s="40"/>
    <row r="773" ht="15.75" customHeight="1" s="40"/>
    <row r="774" ht="15.75" customHeight="1" s="40"/>
    <row r="775" ht="15.75" customHeight="1" s="40"/>
    <row r="776" ht="15.75" customHeight="1" s="40"/>
    <row r="777" ht="15.75" customHeight="1" s="40"/>
    <row r="778" ht="15.75" customHeight="1" s="40"/>
    <row r="779" ht="15.75" customHeight="1" s="40"/>
    <row r="780" ht="15.75" customHeight="1" s="40"/>
    <row r="781" ht="15.75" customHeight="1" s="40"/>
    <row r="782" ht="15.75" customHeight="1" s="40"/>
    <row r="783" ht="15.75" customHeight="1" s="40"/>
    <row r="784" ht="15.75" customHeight="1" s="40"/>
    <row r="785" ht="15.75" customHeight="1" s="40"/>
    <row r="786" ht="15.75" customHeight="1" s="40"/>
    <row r="787" ht="15.75" customHeight="1" s="40"/>
    <row r="788" ht="15.75" customHeight="1" s="40"/>
    <row r="789" ht="15.75" customHeight="1" s="40"/>
    <row r="790" ht="15.75" customHeight="1" s="40"/>
    <row r="791" ht="15.75" customHeight="1" s="40"/>
    <row r="792" ht="15.75" customHeight="1" s="40"/>
    <row r="793" ht="15.75" customHeight="1" s="40"/>
    <row r="794" ht="15.75" customHeight="1" s="40"/>
    <row r="795" ht="15.75" customHeight="1" s="40"/>
    <row r="796" ht="15.75" customHeight="1" s="40"/>
    <row r="797" ht="15.75" customHeight="1" s="40"/>
    <row r="798" ht="15.75" customHeight="1" s="40"/>
    <row r="799" ht="15.75" customHeight="1" s="40"/>
    <row r="800" ht="15.75" customHeight="1" s="40"/>
    <row r="801" ht="15.75" customHeight="1" s="40"/>
    <row r="802" ht="15.75" customHeight="1" s="40"/>
    <row r="803" ht="15.75" customHeight="1" s="40"/>
    <row r="804" ht="15.75" customHeight="1" s="40"/>
    <row r="805" ht="15.75" customHeight="1" s="40"/>
    <row r="806" ht="15.75" customHeight="1" s="40"/>
    <row r="807" ht="15.75" customHeight="1" s="40"/>
    <row r="808" ht="15.75" customHeight="1" s="40"/>
    <row r="809" ht="15.75" customHeight="1" s="40"/>
    <row r="810" ht="15.75" customHeight="1" s="40"/>
    <row r="811" ht="15.75" customHeight="1" s="40"/>
    <row r="812" ht="15.75" customHeight="1" s="40"/>
    <row r="813" ht="15.75" customHeight="1" s="40"/>
    <row r="814" ht="15.75" customHeight="1" s="40"/>
    <row r="815" ht="15.75" customHeight="1" s="40"/>
    <row r="816" ht="15.75" customHeight="1" s="40"/>
    <row r="817" ht="15.75" customHeight="1" s="40"/>
    <row r="818" ht="15.75" customHeight="1" s="40"/>
    <row r="819" ht="15.75" customHeight="1" s="40"/>
    <row r="820" ht="15.75" customHeight="1" s="40"/>
    <row r="821" ht="15.75" customHeight="1" s="40"/>
    <row r="822" ht="15.75" customHeight="1" s="40"/>
    <row r="823" ht="15.75" customHeight="1" s="40"/>
    <row r="824" ht="15.75" customHeight="1" s="40"/>
    <row r="825" ht="15.75" customHeight="1" s="40"/>
    <row r="826" ht="15.75" customHeight="1" s="40"/>
    <row r="827" ht="15.75" customHeight="1" s="40"/>
    <row r="828" ht="15.75" customHeight="1" s="40"/>
    <row r="829" ht="15.75" customHeight="1" s="40"/>
    <row r="830" ht="15.75" customHeight="1" s="40"/>
    <row r="831" ht="15.75" customHeight="1" s="40"/>
    <row r="832" ht="15.75" customHeight="1" s="40"/>
    <row r="833" ht="15.75" customHeight="1" s="40"/>
    <row r="834" ht="15.75" customHeight="1" s="40"/>
    <row r="835" ht="15.75" customHeight="1" s="40"/>
    <row r="836" ht="15.75" customHeight="1" s="40"/>
    <row r="837" ht="15.75" customHeight="1" s="40"/>
    <row r="838" ht="15.75" customHeight="1" s="40"/>
    <row r="839" ht="15.75" customHeight="1" s="40"/>
    <row r="840" ht="15.75" customHeight="1" s="40"/>
    <row r="841" ht="15.75" customHeight="1" s="40"/>
    <row r="842" ht="15.75" customHeight="1" s="40"/>
    <row r="843" ht="15.75" customHeight="1" s="40"/>
    <row r="844" ht="15.75" customHeight="1" s="40"/>
    <row r="845" ht="15.75" customHeight="1" s="40"/>
    <row r="846" ht="15.75" customHeight="1" s="40"/>
    <row r="847" ht="15.75" customHeight="1" s="40"/>
    <row r="848" ht="15.75" customHeight="1" s="40"/>
    <row r="849" ht="15.75" customHeight="1" s="40"/>
    <row r="850" ht="15.75" customHeight="1" s="40"/>
    <row r="851" ht="15.75" customHeight="1" s="40"/>
    <row r="852" ht="15.75" customHeight="1" s="40"/>
    <row r="853" ht="15.75" customHeight="1" s="40"/>
    <row r="854" ht="15.75" customHeight="1" s="40"/>
    <row r="855" ht="15.75" customHeight="1" s="40"/>
    <row r="856" ht="15.75" customHeight="1" s="40"/>
    <row r="857" ht="15.75" customHeight="1" s="40"/>
    <row r="858" ht="15.75" customHeight="1" s="40"/>
    <row r="859" ht="15.75" customHeight="1" s="40"/>
    <row r="860" ht="15.75" customHeight="1" s="40"/>
    <row r="861" ht="15.75" customHeight="1" s="40"/>
    <row r="862" ht="15.75" customHeight="1" s="40"/>
    <row r="863" ht="15.75" customHeight="1" s="40"/>
    <row r="864" ht="15.75" customHeight="1" s="40"/>
    <row r="865" ht="15.75" customHeight="1" s="40"/>
    <row r="866" ht="15.75" customHeight="1" s="40"/>
    <row r="867" ht="15.75" customHeight="1" s="40"/>
    <row r="868" ht="15.75" customHeight="1" s="40"/>
    <row r="869" ht="15.75" customHeight="1" s="40"/>
    <row r="870" ht="15.75" customHeight="1" s="40"/>
    <row r="871" ht="15.75" customHeight="1" s="40"/>
    <row r="872" ht="15.75" customHeight="1" s="40"/>
    <row r="873" ht="15.75" customHeight="1" s="40"/>
    <row r="874" ht="15.75" customHeight="1" s="40"/>
    <row r="875" ht="15.75" customHeight="1" s="40"/>
    <row r="876" ht="15.75" customHeight="1" s="40"/>
    <row r="877" ht="15.75" customHeight="1" s="40"/>
    <row r="878" ht="15.75" customHeight="1" s="40"/>
    <row r="879" ht="15.75" customHeight="1" s="40"/>
    <row r="880" ht="15.75" customHeight="1" s="40"/>
    <row r="881" ht="15.75" customHeight="1" s="40"/>
    <row r="882" ht="15.75" customHeight="1" s="40"/>
    <row r="883" ht="15.75" customHeight="1" s="40"/>
    <row r="884" ht="15.75" customHeight="1" s="40"/>
    <row r="885" ht="15.75" customHeight="1" s="40"/>
    <row r="886" ht="15.75" customHeight="1" s="40"/>
    <row r="887" ht="15.75" customHeight="1" s="40"/>
    <row r="888" ht="15.75" customHeight="1" s="40"/>
    <row r="889" ht="15.75" customHeight="1" s="40"/>
    <row r="890" ht="15.75" customHeight="1" s="40"/>
    <row r="891" ht="15.75" customHeight="1" s="40"/>
    <row r="892" ht="15.75" customHeight="1" s="40"/>
    <row r="893" ht="15.75" customHeight="1" s="40"/>
    <row r="894" ht="15.75" customHeight="1" s="40"/>
    <row r="895" ht="15.75" customHeight="1" s="40"/>
    <row r="896" ht="15.75" customHeight="1" s="40"/>
    <row r="897" ht="15.75" customHeight="1" s="40"/>
    <row r="898" ht="15.75" customHeight="1" s="40"/>
    <row r="899" ht="15.75" customHeight="1" s="40"/>
    <row r="900" ht="15.75" customHeight="1" s="40"/>
    <row r="901" ht="15.75" customHeight="1" s="40"/>
    <row r="902" ht="15.75" customHeight="1" s="40"/>
    <row r="903" ht="15.75" customHeight="1" s="40"/>
    <row r="904" ht="15.75" customHeight="1" s="40"/>
    <row r="905" ht="15.75" customHeight="1" s="40"/>
    <row r="906" ht="15.75" customHeight="1" s="40"/>
    <row r="907" ht="15.75" customHeight="1" s="40"/>
    <row r="908" ht="15.75" customHeight="1" s="40"/>
    <row r="909" ht="15.75" customHeight="1" s="40"/>
    <row r="910" ht="15.75" customHeight="1" s="40"/>
    <row r="911" ht="15.75" customHeight="1" s="40"/>
    <row r="912" ht="15.75" customHeight="1" s="40"/>
    <row r="913" ht="15.75" customHeight="1" s="40"/>
    <row r="914" ht="15.75" customHeight="1" s="40"/>
    <row r="915" ht="15.75" customHeight="1" s="40"/>
    <row r="916" ht="15.75" customHeight="1" s="40"/>
    <row r="917" ht="15.75" customHeight="1" s="40"/>
    <row r="918" ht="15.75" customHeight="1" s="40"/>
    <row r="919" ht="15.75" customHeight="1" s="40"/>
    <row r="920" ht="15.75" customHeight="1" s="40"/>
    <row r="921" ht="15.75" customHeight="1" s="40"/>
    <row r="922" ht="15.75" customHeight="1" s="40"/>
    <row r="923" ht="15.75" customHeight="1" s="40"/>
    <row r="924" ht="15.75" customHeight="1" s="40"/>
    <row r="925" ht="15.75" customHeight="1" s="40"/>
    <row r="926" ht="15.75" customHeight="1" s="40"/>
    <row r="927" ht="15.75" customHeight="1" s="40"/>
    <row r="928" ht="15.75" customHeight="1" s="40"/>
    <row r="929" ht="15.75" customHeight="1" s="40"/>
    <row r="930" ht="15.75" customHeight="1" s="40"/>
    <row r="931" ht="15.75" customHeight="1" s="40"/>
    <row r="932" ht="15.75" customHeight="1" s="40"/>
    <row r="933" ht="15.75" customHeight="1" s="40"/>
    <row r="934" ht="15.75" customHeight="1" s="40"/>
    <row r="935" ht="15.75" customHeight="1" s="40"/>
    <row r="936" ht="15.75" customHeight="1" s="40"/>
    <row r="937" ht="15.75" customHeight="1" s="40"/>
    <row r="938" ht="15.75" customHeight="1" s="40"/>
    <row r="939" ht="15.75" customHeight="1" s="40"/>
    <row r="940" ht="15.75" customHeight="1" s="40"/>
    <row r="941" ht="15.75" customHeight="1" s="40"/>
    <row r="942" ht="15.75" customHeight="1" s="40"/>
    <row r="943" ht="15.75" customHeight="1" s="40"/>
    <row r="944" ht="15.75" customHeight="1" s="40"/>
    <row r="945" ht="15.75" customHeight="1" s="40"/>
    <row r="946" ht="15.75" customHeight="1" s="40"/>
    <row r="947" ht="15.75" customHeight="1" s="40"/>
    <row r="948" ht="15.75" customHeight="1" s="40"/>
    <row r="949" ht="15.75" customHeight="1" s="40"/>
    <row r="950" ht="15.75" customHeight="1" s="40"/>
    <row r="951" ht="15.75" customHeight="1" s="40"/>
    <row r="952" ht="15.75" customHeight="1" s="40"/>
    <row r="953" ht="15.75" customHeight="1" s="40"/>
    <row r="954" ht="15.75" customHeight="1" s="40"/>
    <row r="955" ht="15.75" customHeight="1" s="40"/>
    <row r="956" ht="15.75" customHeight="1" s="40"/>
    <row r="957" ht="15.75" customHeight="1" s="40"/>
    <row r="958" ht="15.75" customHeight="1" s="40"/>
    <row r="959" ht="15.75" customHeight="1" s="40"/>
    <row r="960" ht="15.75" customHeight="1" s="40"/>
    <row r="961" ht="15.75" customHeight="1" s="40"/>
    <row r="962" ht="15.75" customHeight="1" s="40"/>
    <row r="963" ht="15.75" customHeight="1" s="40"/>
    <row r="964" ht="15.75" customHeight="1" s="40"/>
    <row r="965" ht="15.75" customHeight="1" s="40"/>
    <row r="966" ht="15.75" customHeight="1" s="40"/>
    <row r="967" ht="15.75" customHeight="1" s="40"/>
    <row r="968" ht="15.75" customHeight="1" s="40"/>
    <row r="969" ht="15.75" customHeight="1" s="40"/>
    <row r="970" ht="15.75" customHeight="1" s="40"/>
    <row r="971" ht="15.75" customHeight="1" s="40"/>
    <row r="972" ht="15.75" customHeight="1" s="40"/>
    <row r="973" ht="15.75" customHeight="1" s="40"/>
    <row r="974" ht="15.75" customHeight="1" s="40"/>
    <row r="975" ht="15.75" customHeight="1" s="40"/>
    <row r="976" ht="15.75" customHeight="1" s="40"/>
    <row r="977" ht="15.75" customHeight="1" s="40"/>
    <row r="978" ht="15.75" customHeight="1" s="40"/>
    <row r="979" ht="15.75" customHeight="1" s="40"/>
    <row r="980" ht="15.75" customHeight="1" s="40"/>
    <row r="981" ht="15.75" customHeight="1" s="40"/>
    <row r="982" ht="15.75" customHeight="1" s="40"/>
    <row r="983" ht="15.75" customHeight="1" s="40"/>
    <row r="984" ht="15.75" customHeight="1" s="40"/>
    <row r="985" ht="15.75" customHeight="1" s="40"/>
    <row r="986" ht="15.75" customHeight="1" s="40"/>
    <row r="987" ht="15.75" customHeight="1" s="40"/>
    <row r="988" ht="15.75" customHeight="1" s="40"/>
    <row r="989" ht="15.75" customHeight="1" s="40"/>
    <row r="990" ht="15.75" customHeight="1" s="40"/>
    <row r="991" ht="15.75" customHeight="1" s="40"/>
    <row r="992" ht="15.75" customHeight="1" s="40"/>
    <row r="993" ht="15.75" customHeight="1" s="40"/>
    <row r="994" ht="15.75" customHeight="1" s="40"/>
    <row r="995" ht="15.75" customHeight="1" s="40"/>
    <row r="996" ht="15.75" customHeight="1" s="40"/>
    <row r="997" ht="15.75" customHeight="1" s="40"/>
    <row r="998" ht="15.75" customHeight="1" s="40"/>
    <row r="999" ht="15.75" customHeight="1" s="40"/>
    <row r="1000" ht="15.75" customHeight="1" s="40"/>
  </sheetData>
  <autoFilter ref="A9:K117"/>
  <mergeCells count="10">
    <mergeCell ref="A4:B4"/>
    <mergeCell ref="H4:K4"/>
    <mergeCell ref="A7:K7"/>
    <mergeCell ref="D5:E5"/>
    <mergeCell ref="A5:B5"/>
    <mergeCell ref="A2:K2"/>
    <mergeCell ref="D4:E4"/>
    <mergeCell ref="A1:K1"/>
    <mergeCell ref="H5:K5"/>
    <mergeCell ref="A8:K8"/>
  </mergeCells>
  <conditionalFormatting sqref="J10:J1000">
    <cfRule type="expression" priority="1" dxfId="0">
      <formula>$J10="Hecho"</formula>
    </cfRule>
    <cfRule type="expression" priority="2" dxfId="1">
      <formula>$J10="En curso"</formula>
    </cfRule>
    <cfRule type="expression" priority="3" dxfId="2">
      <formula>$J10="En revisión"</formula>
    </cfRule>
  </conditionalFormatting>
  <dataValidations count="4">
    <dataValidation sqref="B10:B400" showDropDown="0" showInputMessage="0" showErrorMessage="0" allowBlank="1" type="list">
      <formula1>"MVP 2,MVP 3,MVP 4"</formula1>
    </dataValidation>
    <dataValidation sqref="I10:I400" showDropDown="0" showInputMessage="0" showErrorMessage="0" allowBlank="1" type="list">
      <formula1>"S,M,L"</formula1>
    </dataValidation>
    <dataValidation sqref="J10:J400" showDropDown="0" showInputMessage="0" showErrorMessage="0" allowBlank="1" type="list">
      <formula1>"Por hacer,En curso,En revisión,Hecho"</formula1>
    </dataValidation>
    <dataValidation sqref="D10:D400" showDropDown="0" showInputMessage="0" showErrorMessage="0" allowBlank="1" type="list">
      <formula1>"FE,BE,BD,Infra,QA,Fullstack"</formula1>
    </dataValidation>
  </dataValidations>
  <pageMargins left="0.75" right="0.75" top="1" bottom="1" header="0" footer="0"/>
  <pageSetup orientation="landscape" fitToHeight="0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41"/>
  <sheetViews>
    <sheetView showGridLines="0" workbookViewId="0">
      <pane xSplit="4" ySplit="4" topLeftCell="E5" activePane="bottomRight" state="frozen"/>
      <selection pane="topRight" activeCell="E1" sqref="E1"/>
      <selection pane="bottomLeft" activeCell="A5" sqref="A5"/>
      <selection pane="bottomRight" activeCell="E5" sqref="E5"/>
    </sheetView>
  </sheetViews>
  <sheetFormatPr baseColWidth="8" defaultColWidth="14.43" defaultRowHeight="15" customHeight="1"/>
  <cols>
    <col width="8" customWidth="1" style="40" min="1" max="1"/>
    <col width="9" customWidth="1" style="40" min="2" max="2"/>
    <col width="13" customWidth="1" style="40" min="3" max="3"/>
    <col width="32" customWidth="1" style="40" min="4" max="4"/>
    <col width="50" customWidth="1" style="40" min="5" max="5"/>
    <col width="54" customWidth="1" style="40" min="6" max="6"/>
    <col width="9" customWidth="1" style="40" min="7" max="8"/>
    <col width="22" customWidth="1" style="40" min="9" max="9"/>
    <col width="38" customWidth="1" style="40" min="10" max="10"/>
    <col width="8.710000000000001" customWidth="1" style="40" min="11" max="26"/>
  </cols>
  <sheetData>
    <row r="1" ht="30" customHeight="1" s="40">
      <c r="A1" s="45" t="inlineStr">
        <is>
          <t>HISTORIAS  ·  agrupan las tareas del tablero</t>
        </is>
      </c>
    </row>
    <row r="2" ht="18" customHeight="1" s="40">
      <c r="A2" s="43" t="inlineStr">
        <is>
          <t>"Tareas" y "Hechas" se calculan solas desde la hoja Tareas.</t>
        </is>
      </c>
    </row>
    <row r="4" ht="30" customHeight="1" s="40">
      <c r="A4" s="10" t="inlineStr">
        <is>
          <t>ID</t>
        </is>
      </c>
      <c r="B4" s="10" t="inlineStr">
        <is>
          <t>MVP</t>
        </is>
      </c>
      <c r="C4" s="10" t="inlineStr">
        <is>
          <t>Módulo</t>
        </is>
      </c>
      <c r="D4" s="10" t="inlineStr">
        <is>
          <t>Historia</t>
        </is>
      </c>
      <c r="E4" s="10" t="inlineStr">
        <is>
          <t>Qué debe permitir</t>
        </is>
      </c>
      <c r="F4" s="10" t="inlineStr">
        <is>
          <t>Cómo comprobamos que está lista</t>
        </is>
      </c>
      <c r="G4" s="10" t="inlineStr">
        <is>
          <t>Tareas</t>
        </is>
      </c>
      <c r="H4" s="10" t="inlineStr">
        <is>
          <t>Hechas</t>
        </is>
      </c>
      <c r="I4" s="10" t="inlineStr">
        <is>
          <t>Agrupa (códigos anteriores)</t>
        </is>
      </c>
      <c r="J4" s="10" t="inlineStr">
        <is>
          <t>Por qué va en este MVP</t>
        </is>
      </c>
    </row>
    <row r="5" ht="39.75" customHeight="1" s="40">
      <c r="A5" s="11" t="inlineStr">
        <is>
          <t>H-00</t>
        </is>
      </c>
      <c r="B5" s="15" t="inlineStr">
        <is>
          <t>MVP 2</t>
        </is>
      </c>
      <c r="C5" s="16" t="inlineStr">
        <is>
          <t>Base</t>
        </is>
      </c>
      <c r="D5" s="18" t="inlineStr">
        <is>
          <t>Base técnica</t>
        </is>
      </c>
      <c r="E5" s="16" t="inlineStr">
        <is>
          <t>Estructura, CI, contenedores y modelo de datos sobre el que se construye todo.</t>
        </is>
      </c>
      <c r="F5" s="16" t="inlineStr">
        <is>
          <t>—</t>
        </is>
      </c>
      <c r="G5" s="17">
        <f>COUNTIF(Tareas!$C$10:$C$400,"H-00 · Base técnica")</f>
        <v/>
      </c>
      <c r="H5" s="17">
        <f>COUNTIFS(Tareas!$C$10:$C$400,"H-00 · Base técnica",Tareas!$J$10:$J$400,"Hecho")</f>
        <v/>
      </c>
      <c r="I5" s="20" t="inlineStr">
        <is>
          <t>ENS-066 (parcial)</t>
        </is>
      </c>
      <c r="J5" s="21" t="inlineStr">
        <is>
          <t>Sin esto nadie puede empezar a codear.</t>
        </is>
      </c>
    </row>
    <row r="6" ht="73.5" customHeight="1" s="40">
      <c r="A6" s="22" t="inlineStr">
        <is>
          <t>H-01</t>
        </is>
      </c>
      <c r="B6" s="15" t="inlineStr">
        <is>
          <t>MVP 2</t>
        </is>
      </c>
      <c r="C6" s="14" t="inlineStr">
        <is>
          <t>Acceso</t>
        </is>
      </c>
      <c r="D6" s="23" t="inlineStr">
        <is>
          <t>Acceso y sesión</t>
        </is>
      </c>
      <c r="E6" s="14" t="inlineStr">
        <is>
          <t>Registrarse, iniciar y cerrar sesión, y que las pantallas y datos privados solo se vean con sesión activa.</t>
        </is>
      </c>
      <c r="F6" s="14" t="inlineStr">
        <is>
          <t>• El registro no admite correos repetidos.
• Contraseña incorrecta muestra aviso.
• Al cerrar sesión las rutas privadas dejan de estar disponibles.
• La API rechaza pedidos sin sesión válida.</t>
        </is>
      </c>
      <c r="G6" s="12">
        <f>COUNTIF(Tareas!$C$10:$C$400,"H-01 · Acceso y sesión")</f>
        <v/>
      </c>
      <c r="H6" s="12">
        <f>COUNTIFS(Tareas!$C$10:$C$400,"H-01 · Acceso y sesión",Tareas!$J$10:$J$400,"Hecho")</f>
        <v/>
      </c>
      <c r="I6" s="25" t="inlineStr">
        <is>
          <t>ENS-001, ENS-002, ENS-003, ENS-005</t>
        </is>
      </c>
      <c r="J6" s="26" t="inlineStr">
        <is>
          <t>Sin usuario no hay sistema: es la puerta de entrada al core.</t>
        </is>
      </c>
    </row>
    <row r="7" ht="73.5" customHeight="1" s="40">
      <c r="A7" s="11" t="inlineStr">
        <is>
          <t>H-02</t>
        </is>
      </c>
      <c r="B7" s="15" t="inlineStr">
        <is>
          <t>MVP 2</t>
        </is>
      </c>
      <c r="C7" s="16" t="inlineStr">
        <is>
          <t>Acceso</t>
        </is>
      </c>
      <c r="D7" s="18" t="inlineStr">
        <is>
          <t>Espacio de negocio y aislamiento de datos</t>
        </is>
      </c>
      <c r="E7" s="16" t="inlineStr">
        <is>
          <t>Crear el espacio del negocio al empezar (nombre y listo) y garantizar que cada negocio solo vea su propia información.</t>
        </is>
      </c>
      <c r="F7" s="16" t="inlineStr">
        <is>
          <t>• Al registrarse se crea o pide el espacio del negocio.
• Toda consulta y modificación se filtra por el negocio del usuario.
• Un usuario no puede acceder a datos de otro negocio ni forzando la URL o la API.</t>
        </is>
      </c>
      <c r="G7" s="17">
        <f>COUNTIF(Tareas!$C$10:$C$400,"H-02 · Espacio de negocio y aislamiento de datos")</f>
        <v/>
      </c>
      <c r="H7" s="17">
        <f>COUNTIFS(Tareas!$C$10:$C$400,"H-02 · Espacio de negocio y aislamiento de datos",Tareas!$J$10:$J$400,"Hecho")</f>
        <v/>
      </c>
      <c r="I7" s="20" t="inlineStr">
        <is>
          <t>ENS-006, ENS-041</t>
        </is>
      </c>
      <c r="J7" s="21" t="inlineStr">
        <is>
          <t>Todo lo que se construye cuelga del negocio; el aislamiento es seguridad base, no se agrega después.</t>
        </is>
      </c>
    </row>
    <row r="8" ht="100.5" customHeight="1" s="40">
      <c r="A8" s="22" t="inlineStr">
        <is>
          <t>H-28</t>
        </is>
      </c>
      <c r="B8" s="15" t="inlineStr">
        <is>
          <t>MVP 2</t>
        </is>
      </c>
      <c r="C8" s="14" t="inlineStr">
        <is>
          <t>Digitalizar</t>
        </is>
      </c>
      <c r="D8" s="23" t="inlineStr">
        <is>
          <t>Subir fotos del cuaderno</t>
        </is>
      </c>
      <c r="E8" s="14" t="inlineStr">
        <is>
          <t>Subir una o varias fotos de páginas del cuaderno desde la cámara del celular o la galería, verlas antes de enviar y guardarlas de forma privada en el negocio.</t>
        </is>
      </c>
      <c r="F8" s="14" t="inlineStr">
        <is>
          <t>• Se puede sacar la foto con la cámara o elegirla de la galería.
• Se suben varias páginas juntas y se pueden rotar o quitar antes de enviar.
• Solo se aceptan imágenes (JPG, PNG, HEIC) y PDF hasta el tamaño límite.
• Las fotos solo las ve el negocio que las subió.</t>
        </is>
      </c>
      <c r="G8" s="12">
        <f>COUNTIF(Tareas!$C$10:$C$400,"H-28 · Subir fotos del cuaderno")</f>
        <v/>
      </c>
      <c r="H8" s="12">
        <f>COUNTIFS(Tareas!$C$10:$C$400,"H-28 · Subir fotos del cuaderno",Tareas!$J$10:$J$400,"Hecho")</f>
        <v/>
      </c>
      <c r="I8" s="25" t="inlineStr">
        <is>
          <t>Nuevo (v1.1) · ENS-027 (parcial)</t>
        </is>
      </c>
      <c r="J8" s="26" t="inlineStr">
        <is>
          <t>Es la puerta de entrada del core: sin foto no hay digitalización.</t>
        </is>
      </c>
    </row>
    <row r="9" ht="114" customHeight="1" s="40">
      <c r="A9" s="11" t="inlineStr">
        <is>
          <t>H-29</t>
        </is>
      </c>
      <c r="B9" s="15" t="inlineStr">
        <is>
          <t>MVP 2</t>
        </is>
      </c>
      <c r="C9" s="16" t="inlineStr">
        <is>
          <t>Digitalizar</t>
        </is>
      </c>
      <c r="D9" s="18" t="inlineStr">
        <is>
          <t>Lectura del cuaderno con IA</t>
        </is>
      </c>
      <c r="E9" s="16" t="inlineStr">
        <is>
          <t>Procesar las fotos con un modelo de IA que reconozca el tipo de registro (ventas, gastos, pedidos, stock, fiados), proponga bloque y campos tipados y extraiga cada renglón con su nivel de confianza.</t>
        </is>
      </c>
      <c r="F9" s="16" t="inlineStr">
        <is>
          <t>• Con el set de fotos de prueba se alcanza la meta de precisión fijada tras el spike.
• Cada dato extraído trae un nivel de confianza.
• Si ya existe un bloque parecido, propone sumar los registros ahí.
• El procesamiento corre en segundo plano con estados visibles.
• El consumo de IA queda registrado y limitado por negocio.</t>
        </is>
      </c>
      <c r="G9" s="17">
        <f>COUNTIF(Tareas!$C$10:$C$400,"H-29 · Lectura del cuaderno con IA")</f>
        <v/>
      </c>
      <c r="H9" s="17">
        <f>COUNTIFS(Tareas!$C$10:$C$400,"H-29 · Lectura del cuaderno con IA",Tareas!$J$10:$J$400,"Hecho")</f>
        <v/>
      </c>
      <c r="I9" s="20" t="inlineStr">
        <is>
          <t>Nuevo (v1.1)</t>
        </is>
      </c>
      <c r="J9" s="21" t="inlineStr">
        <is>
          <t>Es la propuesta de valor: que el sistema se arme solo a partir de la foto.</t>
        </is>
      </c>
    </row>
    <row r="10" ht="127.5" customHeight="1" s="40">
      <c r="A10" s="22" t="inlineStr">
        <is>
          <t>H-30</t>
        </is>
      </c>
      <c r="B10" s="15" t="inlineStr">
        <is>
          <t>MVP 2</t>
        </is>
      </c>
      <c r="C10" s="14" t="inlineStr">
        <is>
          <t>Digitalizar</t>
        </is>
      </c>
      <c r="D10" s="23" t="inlineStr">
        <is>
          <t>Revisar y confirmar lo que leyó la IA</t>
        </is>
      </c>
      <c r="E10" s="14" t="inlineStr">
        <is>
          <t>Mostrar la foto junto a los datos leídos, resaltar los dudosos, permitir corregir y ajustar la estructura propuesta, y al confirmar crear el bloque y los registros vinculados a su foto de origen.</t>
        </is>
      </c>
      <c r="F10" s="14" t="inlineStr">
        <is>
          <t>• En el celular se ve la foto y debajo los datos; en computadora, lado a lado.
• Los datos con baja confianza aparecen resaltados.
• Se pueden corregir celdas, quitar filas y renombrar campos antes de guardar.
• Nada se guarda hasta confirmar; al confirmar se crea todo de una sola vez.
• Desde la ficha de un registro se puede ver la foto de la que salió.</t>
        </is>
      </c>
      <c r="G10" s="12">
        <f>COUNTIF(Tareas!$C$10:$C$400,"H-30 · Revisar y confirmar lo que leyó la IA")</f>
        <v/>
      </c>
      <c r="H10" s="12">
        <f>COUNTIFS(Tareas!$C$10:$C$400,"H-30 · Revisar y confirmar lo que leyó la IA",Tareas!$J$10:$J$400,"Hecho")</f>
        <v/>
      </c>
      <c r="I10" s="25" t="inlineStr">
        <is>
          <t>Nuevo (v1.1)</t>
        </is>
      </c>
      <c r="J10" s="26" t="inlineStr">
        <is>
          <t>La revisión humana da confianza y corrige los errores de la IA; sin esto no se puede usar con datos reales.</t>
        </is>
      </c>
    </row>
    <row r="11" ht="87" customHeight="1" s="40">
      <c r="A11" s="11" t="inlineStr">
        <is>
          <t>H-03</t>
        </is>
      </c>
      <c r="B11" s="15" t="inlineStr">
        <is>
          <t>MVP 2</t>
        </is>
      </c>
      <c r="C11" s="16" t="inlineStr">
        <is>
          <t>Crear proyecto</t>
        </is>
      </c>
      <c r="D11" s="18" t="inlineStr">
        <is>
          <t>Crear proyecto desde plantilla o en blanco</t>
        </is>
      </c>
      <c r="E11" s="16" t="inlineStr">
        <is>
          <t>Pantalla de inicio con tres caminos: «Subir foto de mi cuaderno» (principal), usar una plantilla base (inventario, pedidos, clientes) o arrancar un proyecto en blanco.</t>
        </is>
      </c>
      <c r="F11" s="16" t="inlineStr">
        <is>
          <t>• Sin proyectos, «Subir foto de mi cuaderno» es la opción destacada y las otras dos quedan como secundarias.
• Cada plantilla explica para qué sirve.
• La plantilla se copia al negocio y se edita sin tocar el original.
• El proyecto en blanco indica cómo agregar el primer bloque.</t>
        </is>
      </c>
      <c r="G11" s="17">
        <f>COUNTIF(Tareas!$C$10:$C$400,"H-03 · Crear proyecto desde plantilla o en blanco")</f>
        <v/>
      </c>
      <c r="H11" s="17">
        <f>COUNTIFS(Tareas!$C$10:$C$400,"H-03 · Crear proyecto desde plantilla o en blanco",Tareas!$J$10:$J$400,"Hecho")</f>
        <v/>
      </c>
      <c r="I11" s="20" t="inlineStr">
        <is>
          <t>ENS-008, ENS-010, ENS-012, ENS-013</t>
        </is>
      </c>
      <c r="J11" s="21" t="inlineStr">
        <is>
          <t>Camino alternativo para quien no tiene cuaderno o prefiere empezar de cero; la foto es la entrada principal.</t>
        </is>
      </c>
    </row>
    <row r="12" ht="60" customHeight="1" s="40">
      <c r="A12" s="22" t="inlineStr">
        <is>
          <t>H-04</t>
        </is>
      </c>
      <c r="B12" s="15" t="inlineStr">
        <is>
          <t>MVP 2</t>
        </is>
      </c>
      <c r="C12" s="14" t="inlineStr">
        <is>
          <t>Constructor</t>
        </is>
      </c>
      <c r="D12" s="23" t="inlineStr">
        <is>
          <t>Constructor de bloques y campos</t>
        </is>
      </c>
      <c r="E12" s="14" t="inlineStr">
        <is>
          <t>Pantalla para armar el sistema: agregar, renombrar y eliminar bloques (Productos, Clientes, Pedidos…) y definir sus campos tipados con reglas básicas.</t>
        </is>
      </c>
      <c r="F12" s="14" t="inlineStr">
        <is>
          <t>• Tipos de campo: texto, número, fecha, opción y sí/no.
• Se puede marcar un campo obligatorio y darle valor inicial.
• Se pueden editar y borrar bloques y campos.
• La estructura se guarda y sigue al reabrir el proyecto.</t>
        </is>
      </c>
      <c r="G12" s="12">
        <f>COUNTIF(Tareas!$C$10:$C$400,"H-04 · Constructor de bloques y campos")</f>
        <v/>
      </c>
      <c r="H12" s="12">
        <f>COUNTIFS(Tareas!$C$10:$C$400,"H-04 · Constructor de bloques y campos",Tareas!$J$10:$J$400,"Hecho")</f>
        <v/>
      </c>
      <c r="I12" s="25" t="inlineStr">
        <is>
          <t>ENS-015, ENS-016, ENS-017, ENS-018, ENS-021</t>
        </is>
      </c>
      <c r="J12" s="26" t="inlineStr">
        <is>
          <t>La IA propone la estructura; el constructor permite corregirla o ampliarla. Se mantiene simple.</t>
        </is>
      </c>
    </row>
    <row r="13" ht="73.5" customHeight="1" s="40">
      <c r="A13" s="11" t="inlineStr">
        <is>
          <t>H-05</t>
        </is>
      </c>
      <c r="B13" s="15" t="inlineStr">
        <is>
          <t>MVP 2</t>
        </is>
      </c>
      <c r="C13" s="16" t="inlineStr">
        <is>
          <t>Cargar datos</t>
        </is>
      </c>
      <c r="D13" s="18" t="inlineStr">
        <is>
          <t>Formulario de carga generado automáticamente</t>
        </is>
      </c>
      <c r="E13" s="16" t="inlineStr">
        <is>
          <t>Generar un formulario por bloque a partir de sus campos, validarlo (frontend y API) y guardar registros con avisos claros.</t>
        </is>
      </c>
      <c r="F13" s="16" t="inlineStr">
        <is>
          <t>• El formulario respeta los campos y tipos configurados.
• Los errores aparecen junto al campo y explican qué corregir.
• La API rechaza datos inválidos con mensajes comprensibles.
• Un registro válido se guarda una sola vez y se confirma.
• Ante un error no se pierde lo escrito.</t>
        </is>
      </c>
      <c r="G13" s="17">
        <f>COUNTIF(Tareas!$C$10:$C$400,"H-05 · Formulario de carga generado automáticamente")</f>
        <v/>
      </c>
      <c r="H13" s="17">
        <f>COUNTIFS(Tareas!$C$10:$C$400,"H-05 · Formulario de carga generado automáticamente",Tareas!$J$10:$J$400,"Hecho")</f>
        <v/>
      </c>
      <c r="I13" s="20" t="inlineStr">
        <is>
          <t>ENS-023, ENS-024, ENS-025, ENS-028, ENS-064</t>
        </is>
      </c>
      <c r="J13" s="21" t="inlineStr">
        <is>
          <t>Permite cargar a mano lo que la foto no trae; reutiliza la misma validación que usa la digitalización.</t>
        </is>
      </c>
    </row>
    <row r="14" ht="100.5" customHeight="1" s="40">
      <c r="A14" s="22" t="inlineStr">
        <is>
          <t>H-06</t>
        </is>
      </c>
      <c r="B14" s="15" t="inlineStr">
        <is>
          <t>MVP 2</t>
        </is>
      </c>
      <c r="C14" s="14" t="inlineStr">
        <is>
          <t>Consultar</t>
        </is>
      </c>
      <c r="D14" s="23" t="inlineStr">
        <is>
          <t>Tabla de registros con gestión completa</t>
        </is>
      </c>
      <c r="E14" s="14" t="inlineStr">
        <is>
          <t>Ver los registros de un bloque en una tabla, buscar y ordenar, abrir la ficha de un registro, editarlo y eliminarlo.</t>
        </is>
      </c>
      <c r="F14" s="14" t="inlineStr">
        <is>
          <t>• La tabla muestra las columnas del bloque.
• La búsqueda filtra y las columnas se ordenan.
• La ficha muestra todos los datos del registro.
• Se edita y se ven los cambios guardados.
• Eliminar pide confirmación.
• Se ven totales de los campos numéricos y la cantidad de registros.</t>
        </is>
      </c>
      <c r="G14" s="12">
        <f>COUNTIF(Tareas!$C$10:$C$400,"H-06 · Tabla de registros con gestión completa")</f>
        <v/>
      </c>
      <c r="H14" s="12">
        <f>COUNTIFS(Tareas!$C$10:$C$400,"H-06 · Tabla de registros con gestión completa",Tareas!$J$10:$J$400,"Hecho")</f>
        <v/>
      </c>
      <c r="I14" s="25" t="inlineStr">
        <is>
          <t>ENS-026, ENS-029, ENS-030, ENS-031, ENS-033, Nuevo (v1.1)</t>
        </is>
      </c>
      <c r="J14" s="26" t="inlineStr">
        <is>
          <t>Cierra el ciclo de uso diario: ver lo que se digitalizó, buscar, corregir y saber cuánto suma.</t>
        </is>
      </c>
    </row>
    <row r="15" ht="100.5" customHeight="1" s="40">
      <c r="A15" s="11" t="inlineStr">
        <is>
          <t>H-08</t>
        </is>
      </c>
      <c r="B15" s="15" t="inlineStr">
        <is>
          <t>MVP 2</t>
        </is>
      </c>
      <c r="C15" s="16" t="inlineStr">
        <is>
          <t>Usar</t>
        </is>
      </c>
      <c r="D15" s="18" t="inlineStr">
        <is>
          <t>Interfaz accesible para personas mayores</t>
        </is>
      </c>
      <c r="E15" s="16" t="inlineStr">
        <is>
          <t>Navegación consistente, diseño pensado para el celular y accesible para personas mayores (letra grande, botones amplios, contraste y lenguaje sin tecnicismos), con estados de vacío, carga y error en todas las pantallas del core.</t>
        </is>
      </c>
      <c r="F15" s="16" t="inlineStr">
        <is>
          <t>• Secciones y botones con nombres y ubicaciones consistentes.
• Texto base de 18px o más y botones de 48px o más.
• El flujo principal funciona en pantalla chica sin desbordes.
• Ninguna pantalla queda en blanco: hay mensajes de vacío, carga y error.
• Lighthouse accesibilidad ≥ 90 y personas mayores completan el flujo principal sin ayuda en la prueba.</t>
        </is>
      </c>
      <c r="G15" s="17">
        <f>COUNTIF(Tareas!$C$10:$C$400,"H-08 · Interfaz accesible para personas mayores")</f>
        <v/>
      </c>
      <c r="H15" s="17">
        <f>COUNTIFS(Tareas!$C$10:$C$400,"H-08 · Interfaz accesible para personas mayores",Tareas!$J$10:$J$400,"Hecho")</f>
        <v/>
      </c>
      <c r="I15" s="20" t="inlineStr">
        <is>
          <t>ENS-035, ENS-036, ENS-038, ENS-039, Nuevo (v1.1)</t>
        </is>
      </c>
      <c r="J15" s="21" t="inlineStr">
        <is>
          <t>El público son personas mayores: la accesibilidad es parte del core, no un pulido posterior.</t>
        </is>
      </c>
    </row>
    <row r="16" ht="60" customHeight="1" s="40">
      <c r="A16" s="22" t="inlineStr">
        <is>
          <t>H-09</t>
        </is>
      </c>
      <c r="B16" s="15" t="inlineStr">
        <is>
          <t>MVP 2</t>
        </is>
      </c>
      <c r="C16" s="14" t="inlineStr">
        <is>
          <t>Calidad</t>
        </is>
      </c>
      <c r="D16" s="23" t="inlineStr">
        <is>
          <t>Despliegue y prueba del flujo principal</t>
        </is>
      </c>
      <c r="E16" s="14" t="inlineStr">
        <is>
          <t>Publicar Ensambla en un entorno accesible y probar de punta a punta el recorrido principal.</t>
        </is>
      </c>
      <c r="F16" s="14" t="inlineStr">
        <is>
          <t>• La app corre en un entorno público sin exponer claves ni contraseñas (variables de entorno).
• Prueba E2E: registro → subir foto → revisar y corregir → confirmar → buscar el registro, sin errores.</t>
        </is>
      </c>
      <c r="G16" s="12">
        <f>COUNTIF(Tareas!$C$10:$C$400,"H-09 · Despliegue y prueba del flujo principal")</f>
        <v/>
      </c>
      <c r="H16" s="12">
        <f>COUNTIFS(Tareas!$C$10:$C$400,"H-09 · Despliegue y prueba del flujo principal",Tareas!$J$10:$J$400,"Hecho")</f>
        <v/>
      </c>
      <c r="I16" s="25" t="inlineStr">
        <is>
          <t>ENS-065, ENS-066</t>
        </is>
      </c>
      <c r="J16" s="26" t="inlineStr">
        <is>
          <t>Sin deploy no hay demo ni venta; la prueba E2E asegura que el core no se rompe.</t>
        </is>
      </c>
    </row>
    <row r="17" ht="73.5" customHeight="1" s="40">
      <c r="A17" s="11" t="inlineStr">
        <is>
          <t>H-07</t>
        </is>
      </c>
      <c r="B17" s="34" t="inlineStr">
        <is>
          <t>MVP 3</t>
        </is>
      </c>
      <c r="C17" s="16" t="inlineStr">
        <is>
          <t>Usar</t>
        </is>
      </c>
      <c r="D17" s="18" t="inlineStr">
        <is>
          <t>Modo construir / modo usar</t>
        </is>
      </c>
      <c r="E17" s="16" t="inlineStr">
        <is>
          <t>Separar la edición del sistema de su uso diario: alternar entre construir y usar (que funciona también como vista previa).</t>
        </is>
      </c>
      <c r="F17" s="16" t="inlineStr">
        <is>
          <t>• En modo usar no aparecen herramientas de construcción.
• Desde el constructor se puede ver cómo queda y volver a editar.
• Los cambios del constructor se reflejan al pasar a modo usar.</t>
        </is>
      </c>
      <c r="G17" s="17">
        <f>COUNTIF(Tareas!$C$10:$C$400,"H-07 · Modo construir / modo usar")</f>
        <v/>
      </c>
      <c r="H17" s="17">
        <f>COUNTIFS(Tareas!$C$10:$C$400,"H-07 · Modo construir / modo usar",Tareas!$J$10:$J$400,"Hecho")</f>
        <v/>
      </c>
      <c r="I17" s="20" t="inlineStr">
        <is>
          <t>ENS-022, ENS-050, ENS-051</t>
        </is>
      </c>
      <c r="J17" s="21" t="inlineStr">
        <is>
          <t>Con la IA armando la estructura, la persona mayormente usa el sistema; separar construir/usar pasa a ser una mejora.</t>
        </is>
      </c>
    </row>
    <row r="18" ht="46.5" customHeight="1" s="40">
      <c r="A18" s="22" t="inlineStr">
        <is>
          <t>H-10</t>
        </is>
      </c>
      <c r="B18" s="34" t="inlineStr">
        <is>
          <t>MVP 3</t>
        </is>
      </c>
      <c r="C18" s="14" t="inlineStr">
        <is>
          <t>Acceso</t>
        </is>
      </c>
      <c r="D18" s="23" t="inlineStr">
        <is>
          <t>Gestión de cuenta y negocio</t>
        </is>
      </c>
      <c r="E18" s="14" t="inlineStr">
        <is>
          <t>Recuperar la contraseña y editar los datos del negocio (nombre y datos básicos).</t>
        </is>
      </c>
      <c r="F18" s="14" t="inlineStr">
        <is>
          <t>• Llega un enlace temporal y se puede elegir contraseña nueva.
• Los cambios del negocio se guardan y solo el dueño puede modificarlos.</t>
        </is>
      </c>
      <c r="G18" s="12">
        <f>COUNTIF(Tareas!$C$10:$C$400,"H-10 · Gestión de cuenta y negocio")</f>
        <v/>
      </c>
      <c r="H18" s="12">
        <f>COUNTIFS(Tareas!$C$10:$C$400,"H-10 · Gestión de cuenta y negocio",Tareas!$J$10:$J$400,"Hecho")</f>
        <v/>
      </c>
      <c r="I18" s="25" t="inlineStr">
        <is>
          <t>ENS-004, ENS-007</t>
        </is>
      </c>
      <c r="J18" s="26" t="inlineStr">
        <is>
          <t>ABM de soporte: necesario para un producto en uso real, no para mostrar el core.</t>
        </is>
      </c>
    </row>
    <row r="19" ht="60" customHeight="1" s="40">
      <c r="A19" s="11" t="inlineStr">
        <is>
          <t>H-11</t>
        </is>
      </c>
      <c r="B19" s="34" t="inlineStr">
        <is>
          <t>MVP 3</t>
        </is>
      </c>
      <c r="C19" s="16" t="inlineStr">
        <is>
          <t>Crear proyecto</t>
        </is>
      </c>
      <c r="D19" s="18" t="inlineStr">
        <is>
          <t>Plantillas y proyectos: vista previa y duplicado</t>
        </is>
      </c>
      <c r="E19" s="16" t="inlineStr">
        <is>
          <t>Revisar una plantilla antes de usarla y duplicar un proyecto existente.</t>
        </is>
      </c>
      <c r="F19" s="16" t="inlineStr">
        <is>
          <t>• La vista previa muestra las partes de la plantilla sin crear proyecto.
• La copia de un proyecto se renombra y no arrastra los datos cargados.</t>
        </is>
      </c>
      <c r="G19" s="17">
        <f>COUNTIF(Tareas!$C$10:$C$400,"H-11 · Plantillas y proyectos: vista previa y duplicado")</f>
        <v/>
      </c>
      <c r="H19" s="17">
        <f>COUNTIFS(Tareas!$C$10:$C$400,"H-11 · Plantillas y proyectos: vista previa y duplicado",Tareas!$J$10:$J$400,"Hecho")</f>
        <v/>
      </c>
      <c r="I19" s="20" t="inlineStr">
        <is>
          <t>ENS-011, ENS-014</t>
        </is>
      </c>
      <c r="J19" s="21" t="inlineStr">
        <is>
          <t>Mejora la experiencia de arranque una vez validado el core.</t>
        </is>
      </c>
    </row>
    <row r="20" ht="46.5" customHeight="1" s="40">
      <c r="A20" s="22" t="inlineStr">
        <is>
          <t>H-12</t>
        </is>
      </c>
      <c r="B20" s="34" t="inlineStr">
        <is>
          <t>MVP 3</t>
        </is>
      </c>
      <c r="C20" s="14" t="inlineStr">
        <is>
          <t>Constructor</t>
        </is>
      </c>
      <c r="D20" s="23" t="inlineStr">
        <is>
          <t>Cambios seguros en la estructura</t>
        </is>
      </c>
      <c r="E20" s="14" t="inlineStr">
        <is>
          <t>Reordenar campos y advertir antes de modificar o borrar campos que ya tienen datos.</t>
        </is>
      </c>
      <c r="F20" s="14" t="inlineStr">
        <is>
          <t>• El orden nuevo se conserva al volver a entrar.
• Antes de un cambio riesgoso aparece una advertencia que indica qué datos se afectan.</t>
        </is>
      </c>
      <c r="G20" s="12">
        <f>COUNTIF(Tareas!$C$10:$C$400,"H-12 · Cambios seguros en la estructura")</f>
        <v/>
      </c>
      <c r="H20" s="12">
        <f>COUNTIFS(Tareas!$C$10:$C$400,"H-12 · Cambios seguros en la estructura",Tareas!$J$10:$J$400,"Hecho")</f>
        <v/>
      </c>
      <c r="I20" s="25" t="inlineStr">
        <is>
          <t>ENS-019, ENS-020</t>
        </is>
      </c>
      <c r="J20" s="26" t="inlineStr">
        <is>
          <t>Protege los datos cuando el sistema ya se usa a diario.</t>
        </is>
      </c>
    </row>
    <row r="21" ht="39.75" customHeight="1" s="40">
      <c r="A21" s="11" t="inlineStr">
        <is>
          <t>H-13</t>
        </is>
      </c>
      <c r="B21" s="34" t="inlineStr">
        <is>
          <t>MVP 3</t>
        </is>
      </c>
      <c r="C21" s="16" t="inlineStr">
        <is>
          <t>Usar</t>
        </is>
      </c>
      <c r="D21" s="18" t="inlineStr">
        <is>
          <t>Borrador y versión publicada</t>
        </is>
      </c>
      <c r="E21" s="16" t="inlineStr">
        <is>
          <t>Modificar el sistema en borrador sin alterar lo que se está usando, y publicar cuando esté listo.</t>
        </is>
      </c>
      <c r="F21" s="16" t="inlineStr">
        <is>
          <t>• Los cambios en borrador no afectan el modo usar.
• Al publicar se aplican todos los cambios juntos.</t>
        </is>
      </c>
      <c r="G21" s="17">
        <f>COUNTIF(Tareas!$C$10:$C$400,"H-13 · Borrador y versión publicada")</f>
        <v/>
      </c>
      <c r="H21" s="17">
        <f>COUNTIFS(Tareas!$C$10:$C$400,"H-13 · Borrador y versión publicada",Tareas!$J$10:$J$400,"Hecho")</f>
        <v/>
      </c>
      <c r="I21" s="20" t="inlineStr">
        <is>
          <t>ENS-052</t>
        </is>
      </c>
      <c r="J21" s="21" t="inlineStr">
        <is>
          <t>Necesario cuando hay datos reales en uso; evolución del modo construir/usar.</t>
        </is>
      </c>
    </row>
    <row r="22" ht="46.5" customHeight="1" s="40">
      <c r="A22" s="22" t="inlineStr">
        <is>
          <t>H-14</t>
        </is>
      </c>
      <c r="B22" s="34" t="inlineStr">
        <is>
          <t>MVP 3</t>
        </is>
      </c>
      <c r="C22" s="14" t="inlineStr">
        <is>
          <t>Consultar</t>
        </is>
      </c>
      <c r="D22" s="23" t="inlineStr">
        <is>
          <t>Personalización de columnas (computadora y celular)</t>
        </is>
      </c>
      <c r="E22" s="14" t="inlineStr">
        <is>
          <t>Elegir qué columnas mostrar en la tabla, con una configuración distinta para celular.</t>
        </is>
      </c>
      <c r="F22" s="14" t="inlineStr">
        <is>
          <t>• Ocultar/mostrar columnas no borra información.
• La configuración móvil no modifica la de computadora.
• La ficha sigue mostrando todo aunque haya columnas ocultas.</t>
        </is>
      </c>
      <c r="G22" s="12">
        <f>COUNTIF(Tareas!$C$10:$C$400,"H-14 · Personalización de columnas (computadora y celular)")</f>
        <v/>
      </c>
      <c r="H22" s="12">
        <f>COUNTIFS(Tareas!$C$10:$C$400,"H-14 · Personalización de columnas (computadora y celular)",Tareas!$J$10:$J$400,"Hecho")</f>
        <v/>
      </c>
      <c r="I22" s="25" t="inlineStr">
        <is>
          <t>ENS-032, ENS-037</t>
        </is>
      </c>
      <c r="J22" s="26" t="inlineStr">
        <is>
          <t>Mejora de uso; la tabla del core ya funciona sin esto.</t>
        </is>
      </c>
    </row>
    <row r="23" ht="46.5" customHeight="1" s="40">
      <c r="A23" s="11" t="inlineStr">
        <is>
          <t>H-16</t>
        </is>
      </c>
      <c r="B23" s="34" t="inlineStr">
        <is>
          <t>MVP 3</t>
        </is>
      </c>
      <c r="C23" s="16" t="inlineStr">
        <is>
          <t>Indicadores</t>
        </is>
      </c>
      <c r="D23" s="18" t="inlineStr">
        <is>
          <t>Panel de indicadores y gráficos básicos</t>
        </is>
      </c>
      <c r="E23" s="16" t="inlineStr">
        <is>
          <t>Mostrar un resumen de actividad (registros por bloque) y gráficos simples con los datos cargados.</t>
        </is>
      </c>
      <c r="F23" s="16" t="inlineStr">
        <is>
          <t>• Se ve la cantidad de registros por bloque y se actualiza.
• Los gráficos usan datos reales y avisan si no hay información.</t>
        </is>
      </c>
      <c r="G23" s="17">
        <f>COUNTIF(Tareas!$C$10:$C$400,"H-16 · Panel de indicadores y gráficos básicos")</f>
        <v/>
      </c>
      <c r="H23" s="17">
        <f>COUNTIFS(Tareas!$C$10:$C$400,"H-16 · Panel de indicadores y gráficos básicos",Tareas!$J$10:$J$400,"Hecho")</f>
        <v/>
      </c>
      <c r="I23" s="20" t="inlineStr">
        <is>
          <t>ENS-045, ENS-048</t>
        </is>
      </c>
      <c r="J23" s="21" t="inlineStr">
        <is>
          <t>Suma valor percibido, pero no es imprescindible para mostrar el core.</t>
        </is>
      </c>
    </row>
    <row r="24" ht="46.5" customHeight="1" s="40">
      <c r="A24" s="22" t="inlineStr">
        <is>
          <t>H-17</t>
        </is>
      </c>
      <c r="B24" s="34" t="inlineStr">
        <is>
          <t>MVP 3</t>
        </is>
      </c>
      <c r="C24" s="14" t="inlineStr">
        <is>
          <t>Usar</t>
        </is>
      </c>
      <c r="D24" s="23" t="inlineStr">
        <is>
          <t>Tutorial inicial y ayuda</t>
        </is>
      </c>
      <c r="E24" s="14" t="inlineStr">
        <is>
          <t>Un recorrido breve que enseñe a subir la foto, revisar y consultar, y una sección de ayuda siempre a mano.</t>
        </is>
      </c>
      <c r="F24" s="14" t="inlineStr">
        <is>
          <t>• El tutorial muestra el flujo foto → revisar → consultar y se puede saltear.
• Se puede volver a abrir desde ayuda.</t>
        </is>
      </c>
      <c r="G24" s="12">
        <f>COUNTIF(Tareas!$C$10:$C$400,"H-17 · Tutorial inicial y ayuda")</f>
        <v/>
      </c>
      <c r="H24" s="12">
        <f>COUNTIFS(Tareas!$C$10:$C$400,"H-17 · Tutorial inicial y ayuda",Tareas!$J$10:$J$400,"Hecho")</f>
        <v/>
      </c>
      <c r="I24" s="25" t="inlineStr">
        <is>
          <t>ENS-040</t>
        </is>
      </c>
      <c r="J24" s="26" t="inlineStr">
        <is>
          <t>El core ya es guiado; el tutorial suma una vez validado con usuarios.</t>
        </is>
      </c>
    </row>
    <row r="25" ht="46.5" customHeight="1" s="40">
      <c r="A25" s="11" t="inlineStr">
        <is>
          <t>H-18</t>
        </is>
      </c>
      <c r="B25" s="34" t="inlineStr">
        <is>
          <t>MVP 3</t>
        </is>
      </c>
      <c r="C25" s="16" t="inlineStr">
        <is>
          <t>Calidad</t>
        </is>
      </c>
      <c r="D25" s="18" t="inlineStr">
        <is>
          <t>Respaldos y monitoreo de errores</t>
        </is>
      </c>
      <c r="E25" s="16" t="inlineStr">
        <is>
          <t>Tener copias de seguridad recuperables y registrar errores para corregirlos.</t>
        </is>
      </c>
      <c r="F25" s="16" t="inlineStr">
        <is>
          <t>• Se hace una copia y se comprueba que los datos se restauran.
• Los errores quedan registrados sin guardar contraseñas ni datos sensibles.</t>
        </is>
      </c>
      <c r="G25" s="17">
        <f>COUNTIF(Tareas!$C$10:$C$400,"H-18 · Respaldos y monitoreo de errores")</f>
        <v/>
      </c>
      <c r="H25" s="17">
        <f>COUNTIFS(Tareas!$C$10:$C$400,"H-18 · Respaldos y monitoreo de errores",Tareas!$J$10:$J$400,"Hecho")</f>
        <v/>
      </c>
      <c r="I25" s="20" t="inlineStr">
        <is>
          <t>ENS-067, ENS-068</t>
        </is>
      </c>
      <c r="J25" s="21" t="inlineStr">
        <is>
          <t>Operación estable cuando hay usuarios reales cargando datos.</t>
        </is>
      </c>
    </row>
    <row r="26" ht="46.5" customHeight="1" s="40">
      <c r="A26" s="22" t="inlineStr">
        <is>
          <t>H-15</t>
        </is>
      </c>
      <c r="B26" s="36" t="inlineStr">
        <is>
          <t>MVP 4</t>
        </is>
      </c>
      <c r="C26" s="14" t="inlineStr">
        <is>
          <t>Conectar</t>
        </is>
      </c>
      <c r="D26" s="23" t="inlineStr">
        <is>
          <t>Importar y exportar datos (CSV / planilla)</t>
        </is>
      </c>
      <c r="E26" s="14" t="inlineStr">
        <is>
          <t>Subir datos existentes desde una planilla relacionando columnas con campos, y exportar los registros a CSV.</t>
        </is>
      </c>
      <c r="F26" s="14" t="inlineStr">
        <is>
          <t>• Antes de importar se mapean columnas a campos.
• Los datos se importan/exportan sin mezclar negocios ni campos.</t>
        </is>
      </c>
      <c r="G26" s="12">
        <f>COUNTIF(Tareas!$C$10:$C$400,"H-15 · Importar y exportar datos (CSV / planilla)")</f>
        <v/>
      </c>
      <c r="H26" s="12">
        <f>COUNTIFS(Tareas!$C$10:$C$400,"H-15 · Importar y exportar datos (CSV / planilla)",Tareas!$J$10:$J$400,"Hecho")</f>
        <v/>
      </c>
      <c r="I26" s="25" t="inlineStr">
        <is>
          <t>ENS-034, ENS-054</t>
        </is>
      </c>
      <c r="J26" s="26" t="inlineStr">
        <is>
          <t>El público objetivo no usa planillas: la entrada principal es la foto. Queda para negocios que migren desde Excel.</t>
        </is>
      </c>
    </row>
    <row r="27" ht="73.5" customHeight="1" s="40">
      <c r="A27" s="11" t="inlineStr">
        <is>
          <t>H-19</t>
        </is>
      </c>
      <c r="B27" s="36" t="inlineStr">
        <is>
          <t>MVP 4</t>
        </is>
      </c>
      <c r="C27" s="16" t="inlineStr">
        <is>
          <t>Colaborar</t>
        </is>
      </c>
      <c r="D27" s="18" t="inlineStr">
        <is>
          <t>Equipos: espacios, roles e invitaciones</t>
        </is>
      </c>
      <c r="E27" s="16" t="inlineStr">
        <is>
          <t>Manejar varios negocios desde una cuenta, invitar colaboradores con roles (configura / usa), entrar por enlace propio y auditar cambios.</t>
        </is>
      </c>
      <c r="F27" s="16" t="inlineStr">
        <is>
          <t>• Los datos mostrados siempre pertenecen al negocio seleccionado.
• Solo un usuario autorizado invita y asigna permisos.
• El enlace lleva al proyecto correcto y respeta el acceso.
• Queda registrado quién, cuándo y qué cambió.</t>
        </is>
      </c>
      <c r="G27" s="17">
        <f>COUNTIF(Tareas!$C$10:$C$400,"H-19 · Equipos: espacios, roles e invitaciones")</f>
        <v/>
      </c>
      <c r="H27" s="17">
        <f>COUNTIFS(Tareas!$C$10:$C$400,"H-19 · Equipos: espacios, roles e invitaciones",Tareas!$J$10:$J$400,"Hecho")</f>
        <v/>
      </c>
      <c r="I27" s="20" t="inlineStr">
        <is>
          <t>ENS-009, ENS-042, ENS-043, ENS-044, ENS-053</t>
        </is>
      </c>
      <c r="J27" s="21" t="inlineStr">
        <is>
          <t>Permisos granulares de varios empleados quedan fuera del MVP según la propuesta.</t>
        </is>
      </c>
    </row>
    <row r="28" ht="46.5" customHeight="1" s="40">
      <c r="A28" s="22" t="inlineStr">
        <is>
          <t>H-20</t>
        </is>
      </c>
      <c r="B28" s="36" t="inlineStr">
        <is>
          <t>MVP 4</t>
        </is>
      </c>
      <c r="C28" s="14" t="inlineStr">
        <is>
          <t>Planes</t>
        </is>
      </c>
      <c r="D28" s="23" t="inlineStr">
        <is>
          <t>Planes, prueba premium y control por plan</t>
        </is>
      </c>
      <c r="E28" s="14" t="inlineStr">
        <is>
          <t>Mostrar plan gratuito y premium, ofrecer prueba de 7 días y habilitar funciones según el plan.</t>
        </is>
      </c>
      <c r="F28" s="14" t="inlineStr">
        <is>
          <t>• La persona entiende qué incluye cada plan.
• Se registra inicio y fin de la prueba.
• Las funciones premium no se habilitan sin el plan.</t>
        </is>
      </c>
      <c r="G28" s="12">
        <f>COUNTIF(Tareas!$C$10:$C$400,"H-20 · Planes, prueba premium y control por plan")</f>
        <v/>
      </c>
      <c r="H28" s="12">
        <f>COUNTIFS(Tareas!$C$10:$C$400,"H-20 · Planes, prueba premium y control por plan",Tareas!$J$10:$J$400,"Hecho")</f>
        <v/>
      </c>
      <c r="I28" s="25" t="inlineStr">
        <is>
          <t>ENS-059, ENS-060, ENS-061</t>
        </is>
      </c>
      <c r="J28" s="26" t="inlineStr">
        <is>
          <t>Monetización: llega cuando el producto ya demostró valor.</t>
        </is>
      </c>
    </row>
    <row r="29" ht="39.75" customHeight="1" s="40">
      <c r="A29" s="11" t="inlineStr">
        <is>
          <t>H-21</t>
        </is>
      </c>
      <c r="B29" s="36" t="inlineStr">
        <is>
          <t>MVP 4</t>
        </is>
      </c>
      <c r="C29" s="16" t="inlineStr">
        <is>
          <t>Planes</t>
        </is>
      </c>
      <c r="D29" s="18" t="inlineStr">
        <is>
          <t>Administración de organizaciones (backoffice)</t>
        </is>
      </c>
      <c r="E29" s="16" t="inlineStr">
        <is>
          <t>Buscar y consultar negocios desde la administración interna de Ensambla.</t>
        </is>
      </c>
      <c r="F29" s="16" t="inlineStr">
        <is>
          <t>• Se pueden buscar negocios y ver su situación (plan, uso).</t>
        </is>
      </c>
      <c r="G29" s="17">
        <f>COUNTIF(Tareas!$C$10:$C$400,"H-21 · Administración de organizaciones (backoffice)")</f>
        <v/>
      </c>
      <c r="H29" s="17">
        <f>COUNTIFS(Tareas!$C$10:$C$400,"H-21 · Administración de organizaciones (backoffice)",Tareas!$J$10:$J$400,"Hecho")</f>
        <v/>
      </c>
      <c r="I29" s="20" t="inlineStr">
        <is>
          <t>ENS-063</t>
        </is>
      </c>
      <c r="J29" s="21" t="inlineStr">
        <is>
          <t>Herramienta interna; se necesita al haber planes y clientes.</t>
        </is>
      </c>
    </row>
    <row r="30" ht="60" customHeight="1" s="40">
      <c r="A30" s="22" t="inlineStr">
        <is>
          <t>H-22</t>
        </is>
      </c>
      <c r="B30" s="36" t="inlineStr">
        <is>
          <t>MVP 4</t>
        </is>
      </c>
      <c r="C30" s="14" t="inlineStr">
        <is>
          <t>Indicadores</t>
        </is>
      </c>
      <c r="D30" s="23" t="inlineStr">
        <is>
          <t>Inventario, costos y reportes</t>
        </is>
      </c>
      <c r="E30" s="14" t="inlineStr">
        <is>
          <t>Calcular stock por entradas/salidas, costo de fabricación de productos y generar reportes descargables con filtros.</t>
        </is>
      </c>
      <c r="F30" s="14" t="inlineStr">
        <is>
          <t>• Las entradas y salidas actualizan el stock.
• El costo usa cantidades, precios y unidades.
• Los totales del reporte coinciden con los filtros y no muestran otros negocios.</t>
        </is>
      </c>
      <c r="G30" s="12">
        <f>COUNTIF(Tareas!$C$10:$C$400,"H-22 · Inventario, costos y reportes")</f>
        <v/>
      </c>
      <c r="H30" s="12">
        <f>COUNTIFS(Tareas!$C$10:$C$400,"H-22 · Inventario, costos y reportes",Tareas!$J$10:$J$400,"Hecho")</f>
        <v/>
      </c>
      <c r="I30" s="25" t="inlineStr">
        <is>
          <t>ENS-046, ENS-047, ENS-049</t>
        </is>
      </c>
      <c r="J30" s="26" t="inlineStr">
        <is>
          <t>Analítica avanzada, fuera del MVP inicial según la propuesta.</t>
        </is>
      </c>
    </row>
    <row r="31" ht="46.5" customHeight="1" s="40">
      <c r="A31" s="11" t="inlineStr">
        <is>
          <t>H-23</t>
        </is>
      </c>
      <c r="B31" s="36" t="inlineStr">
        <is>
          <t>MVP 4</t>
        </is>
      </c>
      <c r="C31" s="16" t="inlineStr">
        <is>
          <t>Cargar datos</t>
        </is>
      </c>
      <c r="D31" s="18" t="inlineStr">
        <is>
          <t>Adjuntar archivos a registros</t>
        </is>
      </c>
      <c r="E31" s="16" t="inlineStr">
        <is>
          <t>Agregar fotos o documentos a un registro.</t>
        </is>
      </c>
      <c r="F31" s="16" t="inlineStr">
        <is>
          <t>• El archivo queda en el registro correcto y se controlan tamaño y tipo.</t>
        </is>
      </c>
      <c r="G31" s="17">
        <f>COUNTIF(Tareas!$C$10:$C$400,"H-23 · Adjuntar archivos a registros")</f>
        <v/>
      </c>
      <c r="H31" s="17">
        <f>COUNTIFS(Tareas!$C$10:$C$400,"H-23 · Adjuntar archivos a registros",Tareas!$J$10:$J$400,"Hecho")</f>
        <v/>
      </c>
      <c r="I31" s="20" t="inlineStr">
        <is>
          <t>ENS-027</t>
        </is>
      </c>
      <c r="J31" s="21" t="inlineStr">
        <is>
          <t>El almacenamiento ya existe desde MVP 2 (fotos del cuaderno); acá se suma como tipo de campo con límites por plan.</t>
        </is>
      </c>
    </row>
    <row r="32" ht="39.75" customHeight="1" s="40">
      <c r="A32" s="22" t="inlineStr">
        <is>
          <t>H-24</t>
        </is>
      </c>
      <c r="B32" s="36" t="inlineStr">
        <is>
          <t>MVP 4</t>
        </is>
      </c>
      <c r="C32" s="14" t="inlineStr">
        <is>
          <t>Conectar</t>
        </is>
      </c>
      <c r="D32" s="23" t="inlineStr">
        <is>
          <t>Formularios compartibles</t>
        </is>
      </c>
      <c r="E32" s="14" t="inlineStr">
        <is>
          <t>Compartir un formulario para que personas externas lo completen.</t>
        </is>
      </c>
      <c r="F32" s="14" t="inlineStr">
        <is>
          <t>• El dueño habilita/deshabilita el formulario y define qué datos pide.</t>
        </is>
      </c>
      <c r="G32" s="12">
        <f>COUNTIF(Tareas!$C$10:$C$400,"H-24 · Formularios compartibles")</f>
        <v/>
      </c>
      <c r="H32" s="12">
        <f>COUNTIFS(Tareas!$C$10:$C$400,"H-24 · Formularios compartibles",Tareas!$J$10:$J$400,"Hecho")</f>
        <v/>
      </c>
      <c r="I32" s="25" t="inlineStr">
        <is>
          <t>ENS-058</t>
        </is>
      </c>
      <c r="J32" s="26" t="inlineStr">
        <is>
          <t>Expone datos hacia afuera: va con permisos y planes resueltos.</t>
        </is>
      </c>
    </row>
    <row r="33" ht="46.5" customHeight="1" s="40">
      <c r="A33" s="11" t="inlineStr">
        <is>
          <t>H-25</t>
        </is>
      </c>
      <c r="B33" s="36" t="inlineStr">
        <is>
          <t>MVP 4</t>
        </is>
      </c>
      <c r="C33" s="16" t="inlineStr">
        <is>
          <t>Conectar</t>
        </is>
      </c>
      <c r="D33" s="18" t="inlineStr">
        <is>
          <t>Automatizaciones: alertas, API y webhooks</t>
        </is>
      </c>
      <c r="E33" s="16" t="inlineStr">
        <is>
          <t>Recibir avisos automáticos según condiciones y conectar otras herramientas por API/webhooks.</t>
        </is>
      </c>
      <c r="F33" s="16" t="inlineStr">
        <is>
          <t>• Se elige condición y destinatario y el aviso llega al cumplirse.
• La API tiene reglas de acceso y eventos documentados.</t>
        </is>
      </c>
      <c r="G33" s="17">
        <f>COUNTIF(Tareas!$C$10:$C$400,"H-25 · Automatizaciones: alertas, API y webhooks")</f>
        <v/>
      </c>
      <c r="H33" s="17">
        <f>COUNTIFS(Tareas!$C$10:$C$400,"H-25 · Automatizaciones: alertas, API y webhooks",Tareas!$J$10:$J$400,"Hecho")</f>
        <v/>
      </c>
      <c r="I33" s="20" t="inlineStr">
        <is>
          <t>ENS-056, ENS-057</t>
        </is>
      </c>
      <c r="J33" s="21" t="inlineStr">
        <is>
          <t>Automatizaciones complejas quedan fuera del MVP inicial según la propuesta.</t>
        </is>
      </c>
    </row>
    <row r="34" ht="39.75" customHeight="1" s="40">
      <c r="A34" s="22" t="inlineStr">
        <is>
          <t>H-26</t>
        </is>
      </c>
      <c r="B34" s="36" t="inlineStr">
        <is>
          <t>MVP 4</t>
        </is>
      </c>
      <c r="C34" s="14" t="inlineStr">
        <is>
          <t>Conectar</t>
        </is>
      </c>
      <c r="D34" s="23" t="inlineStr">
        <is>
          <t>Integración con Mercado Libre</t>
        </is>
      </c>
      <c r="E34" s="14" t="inlineStr">
        <is>
          <t>Conectar la información de Mercado Libre con el negocio.</t>
        </is>
      </c>
      <c r="F34" s="14" t="inlineStr">
        <is>
          <t>• La persona autoriza la conexión y puede revocarla cuando quiera.</t>
        </is>
      </c>
      <c r="G34" s="12">
        <f>COUNTIF(Tareas!$C$10:$C$400,"H-26 · Integración con Mercado Libre")</f>
        <v/>
      </c>
      <c r="H34" s="12">
        <f>COUNTIFS(Tareas!$C$10:$C$400,"H-26 · Integración con Mercado Libre",Tareas!$J$10:$J$400,"Hecho")</f>
        <v/>
      </c>
      <c r="I34" s="25" t="inlineStr">
        <is>
          <t>ENS-055</t>
        </is>
      </c>
      <c r="J34" s="26" t="inlineStr">
        <is>
          <t>Integración comercial: función premium de la versión completa.</t>
        </is>
      </c>
    </row>
    <row r="35" ht="39.75" customHeight="1" s="40">
      <c r="A35" s="11" t="inlineStr">
        <is>
          <t>H-27</t>
        </is>
      </c>
      <c r="B35" s="36" t="inlineStr">
        <is>
          <t>MVP 4</t>
        </is>
      </c>
      <c r="C35" s="16" t="inlineStr">
        <is>
          <t>Planes</t>
        </is>
      </c>
      <c r="D35" s="18" t="inlineStr">
        <is>
          <t>Marketplace de plantillas</t>
        </is>
      </c>
      <c r="E35" s="16" t="inlineStr">
        <is>
          <t>Explorar y publicar plantillas hechas por terceros.</t>
        </is>
      </c>
      <c r="F35" s="16" t="inlineStr">
        <is>
          <t>• Las plantillas publicadas pasan por revisión previa.</t>
        </is>
      </c>
      <c r="G35" s="17">
        <f>COUNTIF(Tareas!$C$10:$C$400,"H-27 · Marketplace de plantillas")</f>
        <v/>
      </c>
      <c r="H35" s="17">
        <f>COUNTIFS(Tareas!$C$10:$C$400,"H-27 · Marketplace de plantillas",Tareas!$J$10:$J$400,"Hecho")</f>
        <v/>
      </c>
      <c r="I35" s="20" t="inlineStr">
        <is>
          <t>ENS-062</t>
        </is>
      </c>
      <c r="J35" s="21" t="inlineStr">
        <is>
          <t>Vía de ingresos posterior según el modelo de negocio.</t>
        </is>
      </c>
    </row>
    <row r="36" ht="60" customHeight="1" s="40">
      <c r="A36" s="22" t="inlineStr">
        <is>
          <t>H-31</t>
        </is>
      </c>
      <c r="B36" s="36" t="inlineStr">
        <is>
          <t>MVP 4</t>
        </is>
      </c>
      <c r="C36" s="14" t="inlineStr">
        <is>
          <t>Digitalizar</t>
        </is>
      </c>
      <c r="D36" s="23" t="inlineStr">
        <is>
          <t>Cargar por WhatsApp o audio</t>
        </is>
      </c>
      <c r="E36" s="14" t="inlineStr">
        <is>
          <t>Enviar fotos del cuaderno por WhatsApp o dictar una venta o gasto por audio, y que entre al mismo flujo de revisión.</t>
        </is>
      </c>
      <c r="F36" s="14" t="inlineStr">
        <is>
          <t>• Una foto enviada al número de Ensambla llega al negocio correcto y queda para revisar.
• Un audio se transcribe y se convierte en un registro a confirmar.</t>
        </is>
      </c>
      <c r="G36" s="12">
        <f>COUNTIF(Tareas!$C$10:$C$400,"H-31 · Cargar por WhatsApp o audio")</f>
        <v/>
      </c>
      <c r="H36" s="12">
        <f>COUNTIFS(Tareas!$C$10:$C$400,"H-31 · Cargar por WhatsApp o audio",Tareas!$J$10:$J$400,"Hecho")</f>
        <v/>
      </c>
      <c r="I36" s="25" t="inlineStr">
        <is>
          <t>Nuevo (v1.1)</t>
        </is>
      </c>
      <c r="J36" s="26" t="inlineStr">
        <is>
          <t>Acerca la carga a herramientas que el público ya usa; depende del core de IA y de planes resueltos.</t>
        </is>
      </c>
    </row>
    <row r="37" ht="15.75" customHeight="1" s="40"/>
    <row r="38" ht="15.75" customHeight="1" s="40"/>
    <row r="39" ht="15.75" customHeight="1" s="40"/>
    <row r="40" ht="15.75" customHeight="1" s="40"/>
    <row r="41" ht="15.75" customHeight="1" s="40"/>
    <row r="42" ht="15.75" customHeight="1" s="40"/>
    <row r="43" ht="15.75" customHeight="1" s="40"/>
    <row r="44" ht="15.75" customHeight="1" s="40"/>
    <row r="45" ht="15.75" customHeight="1" s="40"/>
    <row r="46" ht="15.75" customHeight="1" s="40"/>
    <row r="47" ht="15.75" customHeight="1" s="40"/>
    <row r="48" ht="15.75" customHeight="1" s="40"/>
    <row r="49" ht="15.75" customHeight="1" s="40"/>
    <row r="50" ht="15.75" customHeight="1" s="40"/>
    <row r="51" ht="15.75" customHeight="1" s="40"/>
    <row r="52" ht="15.75" customHeight="1" s="40"/>
    <row r="53" ht="15.75" customHeight="1" s="40"/>
    <row r="54" ht="15.75" customHeight="1" s="40"/>
    <row r="55" ht="15.75" customHeight="1" s="40"/>
    <row r="56" ht="15.75" customHeight="1" s="40"/>
    <row r="57" ht="15.75" customHeight="1" s="40"/>
    <row r="58" ht="15.75" customHeight="1" s="40"/>
    <row r="59" ht="15.75" customHeight="1" s="40"/>
    <row r="60" ht="15.75" customHeight="1" s="40"/>
    <row r="61" ht="15.75" customHeight="1" s="40"/>
    <row r="62" ht="15.75" customHeight="1" s="40"/>
    <row r="63" ht="15.75" customHeight="1" s="40"/>
    <row r="64" ht="15.75" customHeight="1" s="40"/>
    <row r="65" ht="15.75" customHeight="1" s="40"/>
    <row r="66" ht="15.75" customHeight="1" s="40"/>
    <row r="67" ht="15.75" customHeight="1" s="40"/>
    <row r="68" ht="15.75" customHeight="1" s="40"/>
    <row r="69" ht="15.75" customHeight="1" s="40"/>
    <row r="70" ht="15.75" customHeight="1" s="40"/>
    <row r="71" ht="15.75" customHeight="1" s="40"/>
    <row r="72" ht="15.75" customHeight="1" s="40"/>
    <row r="73" ht="15.75" customHeight="1" s="40"/>
    <row r="74" ht="15.75" customHeight="1" s="40"/>
    <row r="75" ht="15.75" customHeight="1" s="40"/>
    <row r="76" ht="15.75" customHeight="1" s="40"/>
    <row r="77" ht="15.75" customHeight="1" s="40"/>
    <row r="78" ht="15.75" customHeight="1" s="40"/>
    <row r="79" ht="15.75" customHeight="1" s="40"/>
    <row r="80" ht="15.75" customHeight="1" s="40"/>
    <row r="81" ht="15.75" customHeight="1" s="40"/>
    <row r="82" ht="15.75" customHeight="1" s="40"/>
    <row r="83" ht="15.75" customHeight="1" s="40"/>
    <row r="84" ht="15.75" customHeight="1" s="40"/>
    <row r="85" ht="15.75" customHeight="1" s="40"/>
    <row r="86" ht="15.75" customHeight="1" s="40"/>
    <row r="87" ht="15.75" customHeight="1" s="40"/>
    <row r="88" ht="15.75" customHeight="1" s="40"/>
    <row r="89" ht="15.75" customHeight="1" s="40"/>
    <row r="90" ht="15.75" customHeight="1" s="40"/>
    <row r="91" ht="15.75" customHeight="1" s="40"/>
    <row r="92" ht="15.75" customHeight="1" s="40"/>
    <row r="93" ht="15.75" customHeight="1" s="40"/>
    <row r="94" ht="15.75" customHeight="1" s="40"/>
    <row r="95" ht="15.75" customHeight="1" s="40"/>
    <row r="96" ht="15.75" customHeight="1" s="40"/>
    <row r="97" ht="15.75" customHeight="1" s="40"/>
    <row r="98" ht="15.75" customHeight="1" s="40"/>
    <row r="99" ht="15.75" customHeight="1" s="40"/>
    <row r="100" ht="15.75" customHeight="1" s="40"/>
    <row r="101" ht="15.75" customHeight="1" s="40"/>
    <row r="102" ht="15.75" customHeight="1" s="40"/>
    <row r="103" ht="15.75" customHeight="1" s="40"/>
    <row r="104" ht="15.75" customHeight="1" s="40"/>
    <row r="105" ht="15.75" customHeight="1" s="40"/>
    <row r="106" ht="15.75" customHeight="1" s="40"/>
    <row r="107" ht="15.75" customHeight="1" s="40"/>
    <row r="108" ht="15.75" customHeight="1" s="40"/>
    <row r="109" ht="15.75" customHeight="1" s="40"/>
    <row r="110" ht="15.75" customHeight="1" s="40"/>
    <row r="111" ht="15.75" customHeight="1" s="40"/>
    <row r="112" ht="15.75" customHeight="1" s="40"/>
    <row r="113" ht="15.75" customHeight="1" s="40"/>
    <row r="114" ht="15.75" customHeight="1" s="40"/>
    <row r="115" ht="15.75" customHeight="1" s="40"/>
    <row r="116" ht="15.75" customHeight="1" s="40"/>
    <row r="117" ht="15.75" customHeight="1" s="40"/>
    <row r="118" ht="15.75" customHeight="1" s="40"/>
    <row r="119" ht="15.75" customHeight="1" s="40"/>
    <row r="120" ht="15.75" customHeight="1" s="40"/>
    <row r="121" ht="15.75" customHeight="1" s="40"/>
    <row r="122" ht="15.75" customHeight="1" s="40"/>
    <row r="123" ht="15.75" customHeight="1" s="40"/>
    <row r="124" ht="15.75" customHeight="1" s="40"/>
    <row r="125" ht="15.75" customHeight="1" s="40"/>
    <row r="126" ht="15.75" customHeight="1" s="40"/>
    <row r="127" ht="15.75" customHeight="1" s="40"/>
    <row r="128" ht="15.75" customHeight="1" s="40"/>
    <row r="129" ht="15.75" customHeight="1" s="40"/>
    <row r="130" ht="15.75" customHeight="1" s="40"/>
    <row r="131" ht="15.75" customHeight="1" s="40"/>
    <row r="132" ht="15.75" customHeight="1" s="40"/>
    <row r="133" ht="15.75" customHeight="1" s="40"/>
    <row r="134" ht="15.75" customHeight="1" s="40"/>
    <row r="135" ht="15.75" customHeight="1" s="40"/>
    <row r="136" ht="15.75" customHeight="1" s="40"/>
    <row r="137" ht="15.75" customHeight="1" s="40"/>
    <row r="138" ht="15.75" customHeight="1" s="40"/>
    <row r="139" ht="15.75" customHeight="1" s="40"/>
    <row r="140" ht="15.75" customHeight="1" s="40"/>
    <row r="141" ht="15.75" customHeight="1" s="40"/>
    <row r="142" ht="15.75" customHeight="1" s="40"/>
    <row r="143" ht="15.75" customHeight="1" s="40"/>
    <row r="144" ht="15.75" customHeight="1" s="40"/>
    <row r="145" ht="15.75" customHeight="1" s="40"/>
    <row r="146" ht="15.75" customHeight="1" s="40"/>
    <row r="147" ht="15.75" customHeight="1" s="40"/>
    <row r="148" ht="15.75" customHeight="1" s="40"/>
    <row r="149" ht="15.75" customHeight="1" s="40"/>
    <row r="150" ht="15.75" customHeight="1" s="40"/>
    <row r="151" ht="15.75" customHeight="1" s="40"/>
    <row r="152" ht="15.75" customHeight="1" s="40"/>
    <row r="153" ht="15.75" customHeight="1" s="40"/>
    <row r="154" ht="15.75" customHeight="1" s="40"/>
    <row r="155" ht="15.75" customHeight="1" s="40"/>
    <row r="156" ht="15.75" customHeight="1" s="40"/>
    <row r="157" ht="15.75" customHeight="1" s="40"/>
    <row r="158" ht="15.75" customHeight="1" s="40"/>
    <row r="159" ht="15.75" customHeight="1" s="40"/>
    <row r="160" ht="15.75" customHeight="1" s="40"/>
    <row r="161" ht="15.75" customHeight="1" s="40"/>
    <row r="162" ht="15.75" customHeight="1" s="40"/>
    <row r="163" ht="15.75" customHeight="1" s="40"/>
    <row r="164" ht="15.75" customHeight="1" s="40"/>
    <row r="165" ht="15.75" customHeight="1" s="40"/>
    <row r="166" ht="15.75" customHeight="1" s="40"/>
    <row r="167" ht="15.75" customHeight="1" s="40"/>
    <row r="168" ht="15.75" customHeight="1" s="40"/>
    <row r="169" ht="15.75" customHeight="1" s="40"/>
    <row r="170" ht="15.75" customHeight="1" s="40"/>
    <row r="171" ht="15.75" customHeight="1" s="40"/>
    <row r="172" ht="15.75" customHeight="1" s="40"/>
    <row r="173" ht="15.75" customHeight="1" s="40"/>
    <row r="174" ht="15.75" customHeight="1" s="40"/>
    <row r="175" ht="15.75" customHeight="1" s="40"/>
    <row r="176" ht="15.75" customHeight="1" s="40"/>
    <row r="177" ht="15.75" customHeight="1" s="40"/>
    <row r="178" ht="15.75" customHeight="1" s="40"/>
    <row r="179" ht="15.75" customHeight="1" s="40"/>
    <row r="180" ht="15.75" customHeight="1" s="40"/>
    <row r="181" ht="15.75" customHeight="1" s="40"/>
    <row r="182" ht="15.75" customHeight="1" s="40"/>
    <row r="183" ht="15.75" customHeight="1" s="40"/>
    <row r="184" ht="15.75" customHeight="1" s="40"/>
    <row r="185" ht="15.75" customHeight="1" s="40"/>
    <row r="186" ht="15.75" customHeight="1" s="40"/>
    <row r="187" ht="15.75" customHeight="1" s="40"/>
    <row r="188" ht="15.75" customHeight="1" s="40"/>
    <row r="189" ht="15.75" customHeight="1" s="40"/>
    <row r="190" ht="15.75" customHeight="1" s="40"/>
    <row r="191" ht="15.75" customHeight="1" s="40"/>
    <row r="192" ht="15.75" customHeight="1" s="40"/>
    <row r="193" ht="15.75" customHeight="1" s="40"/>
    <row r="194" ht="15.75" customHeight="1" s="40"/>
    <row r="195" ht="15.75" customHeight="1" s="40"/>
    <row r="196" ht="15.75" customHeight="1" s="40"/>
    <row r="197" ht="15.75" customHeight="1" s="40"/>
    <row r="198" ht="15.75" customHeight="1" s="40"/>
    <row r="199" ht="15.75" customHeight="1" s="40"/>
    <row r="200" ht="15.75" customHeight="1" s="40"/>
    <row r="201" ht="15.75" customHeight="1" s="40"/>
    <row r="202" ht="15.75" customHeight="1" s="40"/>
    <row r="203" ht="15.75" customHeight="1" s="40"/>
    <row r="204" ht="15.75" customHeight="1" s="40"/>
    <row r="205" ht="15.75" customHeight="1" s="40"/>
    <row r="206" ht="15.75" customHeight="1" s="40"/>
    <row r="207" ht="15.75" customHeight="1" s="40"/>
    <row r="208" ht="15.75" customHeight="1" s="40"/>
    <row r="209" ht="15.75" customHeight="1" s="40"/>
    <row r="210" ht="15.75" customHeight="1" s="40"/>
    <row r="211" ht="15.75" customHeight="1" s="40"/>
    <row r="212" ht="15.75" customHeight="1" s="40"/>
    <row r="213" ht="15.75" customHeight="1" s="40"/>
    <row r="214" ht="15.75" customHeight="1" s="40"/>
    <row r="215" ht="15.75" customHeight="1" s="40"/>
    <row r="216" ht="15.75" customHeight="1" s="40"/>
    <row r="217" ht="15.75" customHeight="1" s="40"/>
    <row r="218" ht="15.75" customHeight="1" s="40"/>
    <row r="219" ht="15.75" customHeight="1" s="40"/>
    <row r="220" ht="15.75" customHeight="1" s="40"/>
    <row r="221" ht="15.75" customHeight="1" s="40"/>
    <row r="222" ht="15.75" customHeight="1" s="40"/>
    <row r="223" ht="15.75" customHeight="1" s="40"/>
    <row r="224" ht="15.75" customHeight="1" s="40"/>
    <row r="225" ht="15.75" customHeight="1" s="40"/>
    <row r="226" ht="15.75" customHeight="1" s="40"/>
    <row r="227" ht="15.75" customHeight="1" s="40"/>
    <row r="228" ht="15.75" customHeight="1" s="40"/>
    <row r="229" ht="15.75" customHeight="1" s="40"/>
    <row r="230" ht="15.75" customHeight="1" s="40"/>
    <row r="231" ht="15.75" customHeight="1" s="40"/>
    <row r="232" ht="15.75" customHeight="1" s="40"/>
    <row r="233" ht="15.75" customHeight="1" s="40"/>
    <row r="234" ht="15.75" customHeight="1" s="40"/>
    <row r="235" ht="15.75" customHeight="1" s="40"/>
    <row r="236" ht="15.75" customHeight="1" s="40"/>
    <row r="237" ht="15.75" customHeight="1" s="40"/>
    <row r="238" ht="15.75" customHeight="1" s="40"/>
    <row r="239" ht="15.75" customHeight="1" s="40"/>
    <row r="240" ht="15.75" customHeight="1" s="40"/>
    <row r="241" ht="15.75" customHeight="1" s="40"/>
    <row r="242" ht="15.75" customHeight="1" s="40"/>
    <row r="243" ht="15.75" customHeight="1" s="40"/>
    <row r="244" ht="15.75" customHeight="1" s="40"/>
    <row r="245" ht="15.75" customHeight="1" s="40"/>
    <row r="246" ht="15.75" customHeight="1" s="40"/>
    <row r="247" ht="15.75" customHeight="1" s="40"/>
    <row r="248" ht="15.75" customHeight="1" s="40"/>
    <row r="249" ht="15.75" customHeight="1" s="40"/>
    <row r="250" ht="15.75" customHeight="1" s="40"/>
    <row r="251" ht="15.75" customHeight="1" s="40"/>
    <row r="252" ht="15.75" customHeight="1" s="40"/>
    <row r="253" ht="15.75" customHeight="1" s="40"/>
    <row r="254" ht="15.75" customHeight="1" s="40"/>
    <row r="255" ht="15.75" customHeight="1" s="40"/>
    <row r="256" ht="15.75" customHeight="1" s="40"/>
    <row r="257" ht="15.75" customHeight="1" s="40"/>
    <row r="258" ht="15.75" customHeight="1" s="40"/>
    <row r="259" ht="15.75" customHeight="1" s="40"/>
    <row r="260" ht="15.75" customHeight="1" s="40"/>
    <row r="261" ht="15.75" customHeight="1" s="40"/>
    <row r="262" ht="15.75" customHeight="1" s="40"/>
    <row r="263" ht="15.75" customHeight="1" s="40"/>
    <row r="264" ht="15.75" customHeight="1" s="40"/>
    <row r="265" ht="15.75" customHeight="1" s="40"/>
    <row r="266" ht="15.75" customHeight="1" s="40"/>
    <row r="267" ht="15.75" customHeight="1" s="40"/>
    <row r="268" ht="15.75" customHeight="1" s="40"/>
    <row r="269" ht="15.75" customHeight="1" s="40"/>
    <row r="270" ht="15.75" customHeight="1" s="40"/>
    <row r="271" ht="15.75" customHeight="1" s="40"/>
    <row r="272" ht="15.75" customHeight="1" s="40"/>
    <row r="273" ht="15.75" customHeight="1" s="40"/>
    <row r="274" ht="15.75" customHeight="1" s="40"/>
    <row r="275" ht="15.75" customHeight="1" s="40"/>
    <row r="276" ht="15.75" customHeight="1" s="40"/>
    <row r="277" ht="15.75" customHeight="1" s="40"/>
    <row r="278" ht="15.75" customHeight="1" s="40"/>
    <row r="279" ht="15.75" customHeight="1" s="40"/>
    <row r="280" ht="15.75" customHeight="1" s="40"/>
    <row r="281" ht="15.75" customHeight="1" s="40"/>
    <row r="282" ht="15.75" customHeight="1" s="40"/>
    <row r="283" ht="15.75" customHeight="1" s="40"/>
    <row r="284" ht="15.75" customHeight="1" s="40"/>
    <row r="285" ht="15.75" customHeight="1" s="40"/>
    <row r="286" ht="15.75" customHeight="1" s="40"/>
    <row r="287" ht="15.75" customHeight="1" s="40"/>
    <row r="288" ht="15.75" customHeight="1" s="40"/>
    <row r="289" ht="15.75" customHeight="1" s="40"/>
    <row r="290" ht="15.75" customHeight="1" s="40"/>
    <row r="291" ht="15.75" customHeight="1" s="40"/>
    <row r="292" ht="15.75" customHeight="1" s="40"/>
    <row r="293" ht="15.75" customHeight="1" s="40"/>
    <row r="294" ht="15.75" customHeight="1" s="40"/>
    <row r="295" ht="15.75" customHeight="1" s="40"/>
    <row r="296" ht="15.75" customHeight="1" s="40"/>
    <row r="297" ht="15.75" customHeight="1" s="40"/>
    <row r="298" ht="15.75" customHeight="1" s="40"/>
    <row r="299" ht="15.75" customHeight="1" s="40"/>
    <row r="300" ht="15.75" customHeight="1" s="40"/>
    <row r="301" ht="15.75" customHeight="1" s="40"/>
    <row r="302" ht="15.75" customHeight="1" s="40"/>
    <row r="303" ht="15.75" customHeight="1" s="40"/>
    <row r="304" ht="15.75" customHeight="1" s="40"/>
    <row r="305" ht="15.75" customHeight="1" s="40"/>
    <row r="306" ht="15.75" customHeight="1" s="40"/>
    <row r="307" ht="15.75" customHeight="1" s="40"/>
    <row r="308" ht="15.75" customHeight="1" s="40"/>
    <row r="309" ht="15.75" customHeight="1" s="40"/>
    <row r="310" ht="15.75" customHeight="1" s="40"/>
    <row r="311" ht="15.75" customHeight="1" s="40"/>
    <row r="312" ht="15.75" customHeight="1" s="40"/>
    <row r="313" ht="15.75" customHeight="1" s="40"/>
    <row r="314" ht="15.75" customHeight="1" s="40"/>
    <row r="315" ht="15.75" customHeight="1" s="40"/>
    <row r="316" ht="15.75" customHeight="1" s="40"/>
    <row r="317" ht="15.75" customHeight="1" s="40"/>
    <row r="318" ht="15.75" customHeight="1" s="40"/>
    <row r="319" ht="15.75" customHeight="1" s="40"/>
    <row r="320" ht="15.75" customHeight="1" s="40"/>
    <row r="321" ht="15.75" customHeight="1" s="40"/>
    <row r="322" ht="15.75" customHeight="1" s="40"/>
    <row r="323" ht="15.75" customHeight="1" s="40"/>
    <row r="324" ht="15.75" customHeight="1" s="40"/>
    <row r="325" ht="15.75" customHeight="1" s="40"/>
    <row r="326" ht="15.75" customHeight="1" s="40"/>
    <row r="327" ht="15.75" customHeight="1" s="40"/>
    <row r="328" ht="15.75" customHeight="1" s="40"/>
    <row r="329" ht="15.75" customHeight="1" s="40"/>
    <row r="330" ht="15.75" customHeight="1" s="40"/>
    <row r="331" ht="15.75" customHeight="1" s="40"/>
    <row r="332" ht="15.75" customHeight="1" s="40"/>
    <row r="333" ht="15.75" customHeight="1" s="40"/>
    <row r="334" ht="15.75" customHeight="1" s="40"/>
    <row r="335" ht="15.75" customHeight="1" s="40"/>
    <row r="336" ht="15.75" customHeight="1" s="40"/>
    <row r="337" ht="15.75" customHeight="1" s="40"/>
    <row r="338" ht="15.75" customHeight="1" s="40"/>
    <row r="339" ht="15.75" customHeight="1" s="40"/>
    <row r="340" ht="15.75" customHeight="1" s="40"/>
    <row r="341" ht="15.75" customHeight="1" s="40"/>
    <row r="342" ht="15.75" customHeight="1" s="40"/>
    <row r="343" ht="15.75" customHeight="1" s="40"/>
    <row r="344" ht="15.75" customHeight="1" s="40"/>
    <row r="345" ht="15.75" customHeight="1" s="40"/>
    <row r="346" ht="15.75" customHeight="1" s="40"/>
    <row r="347" ht="15.75" customHeight="1" s="40"/>
    <row r="348" ht="15.75" customHeight="1" s="40"/>
    <row r="349" ht="15.75" customHeight="1" s="40"/>
    <row r="350" ht="15.75" customHeight="1" s="40"/>
    <row r="351" ht="15.75" customHeight="1" s="40"/>
    <row r="352" ht="15.75" customHeight="1" s="40"/>
    <row r="353" ht="15.75" customHeight="1" s="40"/>
    <row r="354" ht="15.75" customHeight="1" s="40"/>
    <row r="355" ht="15.75" customHeight="1" s="40"/>
    <row r="356" ht="15.75" customHeight="1" s="40"/>
    <row r="357" ht="15.75" customHeight="1" s="40"/>
    <row r="358" ht="15.75" customHeight="1" s="40"/>
    <row r="359" ht="15.75" customHeight="1" s="40"/>
    <row r="360" ht="15.75" customHeight="1" s="40"/>
    <row r="361" ht="15.75" customHeight="1" s="40"/>
    <row r="362" ht="15.75" customHeight="1" s="40"/>
    <row r="363" ht="15.75" customHeight="1" s="40"/>
    <row r="364" ht="15.75" customHeight="1" s="40"/>
    <row r="365" ht="15.75" customHeight="1" s="40"/>
    <row r="366" ht="15.75" customHeight="1" s="40"/>
    <row r="367" ht="15.75" customHeight="1" s="40"/>
    <row r="368" ht="15.75" customHeight="1" s="40"/>
    <row r="369" ht="15.75" customHeight="1" s="40"/>
    <row r="370" ht="15.75" customHeight="1" s="40"/>
    <row r="371" ht="15.75" customHeight="1" s="40"/>
    <row r="372" ht="15.75" customHeight="1" s="40"/>
    <row r="373" ht="15.75" customHeight="1" s="40"/>
    <row r="374" ht="15.75" customHeight="1" s="40"/>
    <row r="375" ht="15.75" customHeight="1" s="40"/>
    <row r="376" ht="15.75" customHeight="1" s="40"/>
    <row r="377" ht="15.75" customHeight="1" s="40"/>
    <row r="378" ht="15.75" customHeight="1" s="40"/>
    <row r="379" ht="15.75" customHeight="1" s="40"/>
    <row r="380" ht="15.75" customHeight="1" s="40"/>
    <row r="381" ht="15.75" customHeight="1" s="40"/>
    <row r="382" ht="15.75" customHeight="1" s="40"/>
    <row r="383" ht="15.75" customHeight="1" s="40"/>
    <row r="384" ht="15.75" customHeight="1" s="40"/>
    <row r="385" ht="15.75" customHeight="1" s="40"/>
    <row r="386" ht="15.75" customHeight="1" s="40"/>
    <row r="387" ht="15.75" customHeight="1" s="40"/>
    <row r="388" ht="15.75" customHeight="1" s="40"/>
    <row r="389" ht="15.75" customHeight="1" s="40"/>
    <row r="390" ht="15.75" customHeight="1" s="40"/>
    <row r="391" ht="15.75" customHeight="1" s="40"/>
    <row r="392" ht="15.75" customHeight="1" s="40"/>
    <row r="393" ht="15.75" customHeight="1" s="40"/>
    <row r="394" ht="15.75" customHeight="1" s="40"/>
    <row r="395" ht="15.75" customHeight="1" s="40"/>
    <row r="396" ht="15.75" customHeight="1" s="40"/>
    <row r="397" ht="15.75" customHeight="1" s="40"/>
    <row r="398" ht="15.75" customHeight="1" s="40"/>
    <row r="399" ht="15.75" customHeight="1" s="40"/>
    <row r="400" ht="15.75" customHeight="1" s="40"/>
    <row r="401" ht="15.75" customHeight="1" s="40"/>
    <row r="402" ht="15.75" customHeight="1" s="40"/>
    <row r="403" ht="15.75" customHeight="1" s="40"/>
    <row r="404" ht="15.75" customHeight="1" s="40"/>
    <row r="405" ht="15.75" customHeight="1" s="40"/>
    <row r="406" ht="15.75" customHeight="1" s="40"/>
    <row r="407" ht="15.75" customHeight="1" s="40"/>
    <row r="408" ht="15.75" customHeight="1" s="40"/>
    <row r="409" ht="15.75" customHeight="1" s="40"/>
    <row r="410" ht="15.75" customHeight="1" s="40"/>
    <row r="411" ht="15.75" customHeight="1" s="40"/>
    <row r="412" ht="15.75" customHeight="1" s="40"/>
    <row r="413" ht="15.75" customHeight="1" s="40"/>
    <row r="414" ht="15.75" customHeight="1" s="40"/>
    <row r="415" ht="15.75" customHeight="1" s="40"/>
    <row r="416" ht="15.75" customHeight="1" s="40"/>
    <row r="417" ht="15.75" customHeight="1" s="40"/>
    <row r="418" ht="15.75" customHeight="1" s="40"/>
    <row r="419" ht="15.75" customHeight="1" s="40"/>
    <row r="420" ht="15.75" customHeight="1" s="40"/>
    <row r="421" ht="15.75" customHeight="1" s="40"/>
    <row r="422" ht="15.75" customHeight="1" s="40"/>
    <row r="423" ht="15.75" customHeight="1" s="40"/>
    <row r="424" ht="15.75" customHeight="1" s="40"/>
    <row r="425" ht="15.75" customHeight="1" s="40"/>
    <row r="426" ht="15.75" customHeight="1" s="40"/>
    <row r="427" ht="15.75" customHeight="1" s="40"/>
    <row r="428" ht="15.75" customHeight="1" s="40"/>
    <row r="429" ht="15.75" customHeight="1" s="40"/>
    <row r="430" ht="15.75" customHeight="1" s="40"/>
    <row r="431" ht="15.75" customHeight="1" s="40"/>
    <row r="432" ht="15.75" customHeight="1" s="40"/>
    <row r="433" ht="15.75" customHeight="1" s="40"/>
    <row r="434" ht="15.75" customHeight="1" s="40"/>
    <row r="435" ht="15.75" customHeight="1" s="40"/>
    <row r="436" ht="15.75" customHeight="1" s="40"/>
    <row r="437" ht="15.75" customHeight="1" s="40"/>
    <row r="438" ht="15.75" customHeight="1" s="40"/>
    <row r="439" ht="15.75" customHeight="1" s="40"/>
    <row r="440" ht="15.75" customHeight="1" s="40"/>
    <row r="441" ht="15.75" customHeight="1" s="40"/>
    <row r="442" ht="15.75" customHeight="1" s="40"/>
    <row r="443" ht="15.75" customHeight="1" s="40"/>
    <row r="444" ht="15.75" customHeight="1" s="40"/>
    <row r="445" ht="15.75" customHeight="1" s="40"/>
    <row r="446" ht="15.75" customHeight="1" s="40"/>
    <row r="447" ht="15.75" customHeight="1" s="40"/>
    <row r="448" ht="15.75" customHeight="1" s="40"/>
    <row r="449" ht="15.75" customHeight="1" s="40"/>
    <row r="450" ht="15.75" customHeight="1" s="40"/>
    <row r="451" ht="15.75" customHeight="1" s="40"/>
    <row r="452" ht="15.75" customHeight="1" s="40"/>
    <row r="453" ht="15.75" customHeight="1" s="40"/>
    <row r="454" ht="15.75" customHeight="1" s="40"/>
    <row r="455" ht="15.75" customHeight="1" s="40"/>
    <row r="456" ht="15.75" customHeight="1" s="40"/>
    <row r="457" ht="15.75" customHeight="1" s="40"/>
    <row r="458" ht="15.75" customHeight="1" s="40"/>
    <row r="459" ht="15.75" customHeight="1" s="40"/>
    <row r="460" ht="15.75" customHeight="1" s="40"/>
    <row r="461" ht="15.75" customHeight="1" s="40"/>
    <row r="462" ht="15.75" customHeight="1" s="40"/>
    <row r="463" ht="15.75" customHeight="1" s="40"/>
    <row r="464" ht="15.75" customHeight="1" s="40"/>
    <row r="465" ht="15.75" customHeight="1" s="40"/>
    <row r="466" ht="15.75" customHeight="1" s="40"/>
    <row r="467" ht="15.75" customHeight="1" s="40"/>
    <row r="468" ht="15.75" customHeight="1" s="40"/>
    <row r="469" ht="15.75" customHeight="1" s="40"/>
    <row r="470" ht="15.75" customHeight="1" s="40"/>
    <row r="471" ht="15.75" customHeight="1" s="40"/>
    <row r="472" ht="15.75" customHeight="1" s="40"/>
    <row r="473" ht="15.75" customHeight="1" s="40"/>
    <row r="474" ht="15.75" customHeight="1" s="40"/>
    <row r="475" ht="15.75" customHeight="1" s="40"/>
    <row r="476" ht="15.75" customHeight="1" s="40"/>
    <row r="477" ht="15.75" customHeight="1" s="40"/>
    <row r="478" ht="15.75" customHeight="1" s="40"/>
    <row r="479" ht="15.75" customHeight="1" s="40"/>
    <row r="480" ht="15.75" customHeight="1" s="40"/>
    <row r="481" ht="15.75" customHeight="1" s="40"/>
    <row r="482" ht="15.75" customHeight="1" s="40"/>
    <row r="483" ht="15.75" customHeight="1" s="40"/>
    <row r="484" ht="15.75" customHeight="1" s="40"/>
    <row r="485" ht="15.75" customHeight="1" s="40"/>
    <row r="486" ht="15.75" customHeight="1" s="40"/>
    <row r="487" ht="15.75" customHeight="1" s="40"/>
    <row r="488" ht="15.75" customHeight="1" s="40"/>
    <row r="489" ht="15.75" customHeight="1" s="40"/>
    <row r="490" ht="15.75" customHeight="1" s="40"/>
    <row r="491" ht="15.75" customHeight="1" s="40"/>
    <row r="492" ht="15.75" customHeight="1" s="40"/>
    <row r="493" ht="15.75" customHeight="1" s="40"/>
    <row r="494" ht="15.75" customHeight="1" s="40"/>
    <row r="495" ht="15.75" customHeight="1" s="40"/>
    <row r="496" ht="15.75" customHeight="1" s="40"/>
    <row r="497" ht="15.75" customHeight="1" s="40"/>
    <row r="498" ht="15.75" customHeight="1" s="40"/>
    <row r="499" ht="15.75" customHeight="1" s="40"/>
    <row r="500" ht="15.75" customHeight="1" s="40"/>
    <row r="501" ht="15.75" customHeight="1" s="40"/>
    <row r="502" ht="15.75" customHeight="1" s="40"/>
    <row r="503" ht="15.75" customHeight="1" s="40"/>
    <row r="504" ht="15.75" customHeight="1" s="40"/>
    <row r="505" ht="15.75" customHeight="1" s="40"/>
    <row r="506" ht="15.75" customHeight="1" s="40"/>
    <row r="507" ht="15.75" customHeight="1" s="40"/>
    <row r="508" ht="15.75" customHeight="1" s="40"/>
    <row r="509" ht="15.75" customHeight="1" s="40"/>
    <row r="510" ht="15.75" customHeight="1" s="40"/>
    <row r="511" ht="15.75" customHeight="1" s="40"/>
    <row r="512" ht="15.75" customHeight="1" s="40"/>
    <row r="513" ht="15.75" customHeight="1" s="40"/>
    <row r="514" ht="15.75" customHeight="1" s="40"/>
    <row r="515" ht="15.75" customHeight="1" s="40"/>
    <row r="516" ht="15.75" customHeight="1" s="40"/>
    <row r="517" ht="15.75" customHeight="1" s="40"/>
    <row r="518" ht="15.75" customHeight="1" s="40"/>
    <row r="519" ht="15.75" customHeight="1" s="40"/>
    <row r="520" ht="15.75" customHeight="1" s="40"/>
    <row r="521" ht="15.75" customHeight="1" s="40"/>
    <row r="522" ht="15.75" customHeight="1" s="40"/>
    <row r="523" ht="15.75" customHeight="1" s="40"/>
    <row r="524" ht="15.75" customHeight="1" s="40"/>
    <row r="525" ht="15.75" customHeight="1" s="40"/>
    <row r="526" ht="15.75" customHeight="1" s="40"/>
    <row r="527" ht="15.75" customHeight="1" s="40"/>
    <row r="528" ht="15.75" customHeight="1" s="40"/>
    <row r="529" ht="15.75" customHeight="1" s="40"/>
    <row r="530" ht="15.75" customHeight="1" s="40"/>
    <row r="531" ht="15.75" customHeight="1" s="40"/>
    <row r="532" ht="15.75" customHeight="1" s="40"/>
    <row r="533" ht="15.75" customHeight="1" s="40"/>
    <row r="534" ht="15.75" customHeight="1" s="40"/>
    <row r="535" ht="15.75" customHeight="1" s="40"/>
    <row r="536" ht="15.75" customHeight="1" s="40"/>
    <row r="537" ht="15.75" customHeight="1" s="40"/>
    <row r="538" ht="15.75" customHeight="1" s="40"/>
    <row r="539" ht="15.75" customHeight="1" s="40"/>
    <row r="540" ht="15.75" customHeight="1" s="40"/>
    <row r="541" ht="15.75" customHeight="1" s="40"/>
    <row r="542" ht="15.75" customHeight="1" s="40"/>
    <row r="543" ht="15.75" customHeight="1" s="40"/>
    <row r="544" ht="15.75" customHeight="1" s="40"/>
    <row r="545" ht="15.75" customHeight="1" s="40"/>
    <row r="546" ht="15.75" customHeight="1" s="40"/>
    <row r="547" ht="15.75" customHeight="1" s="40"/>
    <row r="548" ht="15.75" customHeight="1" s="40"/>
    <row r="549" ht="15.75" customHeight="1" s="40"/>
    <row r="550" ht="15.75" customHeight="1" s="40"/>
    <row r="551" ht="15.75" customHeight="1" s="40"/>
    <row r="552" ht="15.75" customHeight="1" s="40"/>
    <row r="553" ht="15.75" customHeight="1" s="40"/>
    <row r="554" ht="15.75" customHeight="1" s="40"/>
    <row r="555" ht="15.75" customHeight="1" s="40"/>
    <row r="556" ht="15.75" customHeight="1" s="40"/>
    <row r="557" ht="15.75" customHeight="1" s="40"/>
    <row r="558" ht="15.75" customHeight="1" s="40"/>
    <row r="559" ht="15.75" customHeight="1" s="40"/>
    <row r="560" ht="15.75" customHeight="1" s="40"/>
    <row r="561" ht="15.75" customHeight="1" s="40"/>
    <row r="562" ht="15.75" customHeight="1" s="40"/>
    <row r="563" ht="15.75" customHeight="1" s="40"/>
    <row r="564" ht="15.75" customHeight="1" s="40"/>
    <row r="565" ht="15.75" customHeight="1" s="40"/>
    <row r="566" ht="15.75" customHeight="1" s="40"/>
    <row r="567" ht="15.75" customHeight="1" s="40"/>
    <row r="568" ht="15.75" customHeight="1" s="40"/>
    <row r="569" ht="15.75" customHeight="1" s="40"/>
    <row r="570" ht="15.75" customHeight="1" s="40"/>
    <row r="571" ht="15.75" customHeight="1" s="40"/>
    <row r="572" ht="15.75" customHeight="1" s="40"/>
    <row r="573" ht="15.75" customHeight="1" s="40"/>
    <row r="574" ht="15.75" customHeight="1" s="40"/>
    <row r="575" ht="15.75" customHeight="1" s="40"/>
    <row r="576" ht="15.75" customHeight="1" s="40"/>
    <row r="577" ht="15.75" customHeight="1" s="40"/>
    <row r="578" ht="15.75" customHeight="1" s="40"/>
    <row r="579" ht="15.75" customHeight="1" s="40"/>
    <row r="580" ht="15.75" customHeight="1" s="40"/>
    <row r="581" ht="15.75" customHeight="1" s="40"/>
    <row r="582" ht="15.75" customHeight="1" s="40"/>
    <row r="583" ht="15.75" customHeight="1" s="40"/>
    <row r="584" ht="15.75" customHeight="1" s="40"/>
    <row r="585" ht="15.75" customHeight="1" s="40"/>
    <row r="586" ht="15.75" customHeight="1" s="40"/>
    <row r="587" ht="15.75" customHeight="1" s="40"/>
    <row r="588" ht="15.75" customHeight="1" s="40"/>
    <row r="589" ht="15.75" customHeight="1" s="40"/>
    <row r="590" ht="15.75" customHeight="1" s="40"/>
    <row r="591" ht="15.75" customHeight="1" s="40"/>
    <row r="592" ht="15.75" customHeight="1" s="40"/>
    <row r="593" ht="15.75" customHeight="1" s="40"/>
    <row r="594" ht="15.75" customHeight="1" s="40"/>
    <row r="595" ht="15.75" customHeight="1" s="40"/>
    <row r="596" ht="15.75" customHeight="1" s="40"/>
    <row r="597" ht="15.75" customHeight="1" s="40"/>
    <row r="598" ht="15.75" customHeight="1" s="40"/>
    <row r="599" ht="15.75" customHeight="1" s="40"/>
    <row r="600" ht="15.75" customHeight="1" s="40"/>
    <row r="601" ht="15.75" customHeight="1" s="40"/>
    <row r="602" ht="15.75" customHeight="1" s="40"/>
    <row r="603" ht="15.75" customHeight="1" s="40"/>
    <row r="604" ht="15.75" customHeight="1" s="40"/>
    <row r="605" ht="15.75" customHeight="1" s="40"/>
    <row r="606" ht="15.75" customHeight="1" s="40"/>
    <row r="607" ht="15.75" customHeight="1" s="40"/>
    <row r="608" ht="15.75" customHeight="1" s="40"/>
    <row r="609" ht="15.75" customHeight="1" s="40"/>
    <row r="610" ht="15.75" customHeight="1" s="40"/>
    <row r="611" ht="15.75" customHeight="1" s="40"/>
    <row r="612" ht="15.75" customHeight="1" s="40"/>
    <row r="613" ht="15.75" customHeight="1" s="40"/>
    <row r="614" ht="15.75" customHeight="1" s="40"/>
    <row r="615" ht="15.75" customHeight="1" s="40"/>
    <row r="616" ht="15.75" customHeight="1" s="40"/>
    <row r="617" ht="15.75" customHeight="1" s="40"/>
    <row r="618" ht="15.75" customHeight="1" s="40"/>
    <row r="619" ht="15.75" customHeight="1" s="40"/>
    <row r="620" ht="15.75" customHeight="1" s="40"/>
    <row r="621" ht="15.75" customHeight="1" s="40"/>
    <row r="622" ht="15.75" customHeight="1" s="40"/>
    <row r="623" ht="15.75" customHeight="1" s="40"/>
    <row r="624" ht="15.75" customHeight="1" s="40"/>
    <row r="625" ht="15.75" customHeight="1" s="40"/>
    <row r="626" ht="15.75" customHeight="1" s="40"/>
    <row r="627" ht="15.75" customHeight="1" s="40"/>
    <row r="628" ht="15.75" customHeight="1" s="40"/>
    <row r="629" ht="15.75" customHeight="1" s="40"/>
    <row r="630" ht="15.75" customHeight="1" s="40"/>
    <row r="631" ht="15.75" customHeight="1" s="40"/>
    <row r="632" ht="15.75" customHeight="1" s="40"/>
    <row r="633" ht="15.75" customHeight="1" s="40"/>
    <row r="634" ht="15.75" customHeight="1" s="40"/>
    <row r="635" ht="15.75" customHeight="1" s="40"/>
    <row r="636" ht="15.75" customHeight="1" s="40"/>
    <row r="637" ht="15.75" customHeight="1" s="40"/>
    <row r="638" ht="15.75" customHeight="1" s="40"/>
    <row r="639" ht="15.75" customHeight="1" s="40"/>
    <row r="640" ht="15.75" customHeight="1" s="40"/>
    <row r="641" ht="15.75" customHeight="1" s="40"/>
    <row r="642" ht="15.75" customHeight="1" s="40"/>
    <row r="643" ht="15.75" customHeight="1" s="40"/>
    <row r="644" ht="15.75" customHeight="1" s="40"/>
    <row r="645" ht="15.75" customHeight="1" s="40"/>
    <row r="646" ht="15.75" customHeight="1" s="40"/>
    <row r="647" ht="15.75" customHeight="1" s="40"/>
    <row r="648" ht="15.75" customHeight="1" s="40"/>
    <row r="649" ht="15.75" customHeight="1" s="40"/>
    <row r="650" ht="15.75" customHeight="1" s="40"/>
    <row r="651" ht="15.75" customHeight="1" s="40"/>
    <row r="652" ht="15.75" customHeight="1" s="40"/>
    <row r="653" ht="15.75" customHeight="1" s="40"/>
    <row r="654" ht="15.75" customHeight="1" s="40"/>
    <row r="655" ht="15.75" customHeight="1" s="40"/>
    <row r="656" ht="15.75" customHeight="1" s="40"/>
    <row r="657" ht="15.75" customHeight="1" s="40"/>
    <row r="658" ht="15.75" customHeight="1" s="40"/>
    <row r="659" ht="15.75" customHeight="1" s="40"/>
    <row r="660" ht="15.75" customHeight="1" s="40"/>
    <row r="661" ht="15.75" customHeight="1" s="40"/>
    <row r="662" ht="15.75" customHeight="1" s="40"/>
    <row r="663" ht="15.75" customHeight="1" s="40"/>
    <row r="664" ht="15.75" customHeight="1" s="40"/>
    <row r="665" ht="15.75" customHeight="1" s="40"/>
    <row r="666" ht="15.75" customHeight="1" s="40"/>
    <row r="667" ht="15.75" customHeight="1" s="40"/>
    <row r="668" ht="15.75" customHeight="1" s="40"/>
    <row r="669" ht="15.75" customHeight="1" s="40"/>
    <row r="670" ht="15.75" customHeight="1" s="40"/>
    <row r="671" ht="15.75" customHeight="1" s="40"/>
    <row r="672" ht="15.75" customHeight="1" s="40"/>
    <row r="673" ht="15.75" customHeight="1" s="40"/>
    <row r="674" ht="15.75" customHeight="1" s="40"/>
    <row r="675" ht="15.75" customHeight="1" s="40"/>
    <row r="676" ht="15.75" customHeight="1" s="40"/>
    <row r="677" ht="15.75" customHeight="1" s="40"/>
    <row r="678" ht="15.75" customHeight="1" s="40"/>
    <row r="679" ht="15.75" customHeight="1" s="40"/>
    <row r="680" ht="15.75" customHeight="1" s="40"/>
    <row r="681" ht="15.75" customHeight="1" s="40"/>
    <row r="682" ht="15.75" customHeight="1" s="40"/>
    <row r="683" ht="15.75" customHeight="1" s="40"/>
    <row r="684" ht="15.75" customHeight="1" s="40"/>
    <row r="685" ht="15.75" customHeight="1" s="40"/>
    <row r="686" ht="15.75" customHeight="1" s="40"/>
    <row r="687" ht="15.75" customHeight="1" s="40"/>
    <row r="688" ht="15.75" customHeight="1" s="40"/>
    <row r="689" ht="15.75" customHeight="1" s="40"/>
    <row r="690" ht="15.75" customHeight="1" s="40"/>
    <row r="691" ht="15.75" customHeight="1" s="40"/>
    <row r="692" ht="15.75" customHeight="1" s="40"/>
    <row r="693" ht="15.75" customHeight="1" s="40"/>
    <row r="694" ht="15.75" customHeight="1" s="40"/>
    <row r="695" ht="15.75" customHeight="1" s="40"/>
    <row r="696" ht="15.75" customHeight="1" s="40"/>
    <row r="697" ht="15.75" customHeight="1" s="40"/>
    <row r="698" ht="15.75" customHeight="1" s="40"/>
    <row r="699" ht="15.75" customHeight="1" s="40"/>
    <row r="700" ht="15.75" customHeight="1" s="40"/>
    <row r="701" ht="15.75" customHeight="1" s="40"/>
    <row r="702" ht="15.75" customHeight="1" s="40"/>
    <row r="703" ht="15.75" customHeight="1" s="40"/>
    <row r="704" ht="15.75" customHeight="1" s="40"/>
    <row r="705" ht="15.75" customHeight="1" s="40"/>
    <row r="706" ht="15.75" customHeight="1" s="40"/>
    <row r="707" ht="15.75" customHeight="1" s="40"/>
    <row r="708" ht="15.75" customHeight="1" s="40"/>
    <row r="709" ht="15.75" customHeight="1" s="40"/>
    <row r="710" ht="15.75" customHeight="1" s="40"/>
    <row r="711" ht="15.75" customHeight="1" s="40"/>
    <row r="712" ht="15.75" customHeight="1" s="40"/>
    <row r="713" ht="15.75" customHeight="1" s="40"/>
    <row r="714" ht="15.75" customHeight="1" s="40"/>
    <row r="715" ht="15.75" customHeight="1" s="40"/>
    <row r="716" ht="15.75" customHeight="1" s="40"/>
    <row r="717" ht="15.75" customHeight="1" s="40"/>
    <row r="718" ht="15.75" customHeight="1" s="40"/>
    <row r="719" ht="15.75" customHeight="1" s="40"/>
    <row r="720" ht="15.75" customHeight="1" s="40"/>
    <row r="721" ht="15.75" customHeight="1" s="40"/>
    <row r="722" ht="15.75" customHeight="1" s="40"/>
    <row r="723" ht="15.75" customHeight="1" s="40"/>
    <row r="724" ht="15.75" customHeight="1" s="40"/>
    <row r="725" ht="15.75" customHeight="1" s="40"/>
    <row r="726" ht="15.75" customHeight="1" s="40"/>
    <row r="727" ht="15.75" customHeight="1" s="40"/>
    <row r="728" ht="15.75" customHeight="1" s="40"/>
    <row r="729" ht="15.75" customHeight="1" s="40"/>
    <row r="730" ht="15.75" customHeight="1" s="40"/>
    <row r="731" ht="15.75" customHeight="1" s="40"/>
    <row r="732" ht="15.75" customHeight="1" s="40"/>
    <row r="733" ht="15.75" customHeight="1" s="40"/>
    <row r="734" ht="15.75" customHeight="1" s="40"/>
    <row r="735" ht="15.75" customHeight="1" s="40"/>
    <row r="736" ht="15.75" customHeight="1" s="40"/>
    <row r="737" ht="15.75" customHeight="1" s="40"/>
    <row r="738" ht="15.75" customHeight="1" s="40"/>
    <row r="739" ht="15.75" customHeight="1" s="40"/>
    <row r="740" ht="15.75" customHeight="1" s="40"/>
    <row r="741" ht="15.75" customHeight="1" s="40"/>
    <row r="742" ht="15.75" customHeight="1" s="40"/>
    <row r="743" ht="15.75" customHeight="1" s="40"/>
    <row r="744" ht="15.75" customHeight="1" s="40"/>
    <row r="745" ht="15.75" customHeight="1" s="40"/>
    <row r="746" ht="15.75" customHeight="1" s="40"/>
    <row r="747" ht="15.75" customHeight="1" s="40"/>
    <row r="748" ht="15.75" customHeight="1" s="40"/>
    <row r="749" ht="15.75" customHeight="1" s="40"/>
    <row r="750" ht="15.75" customHeight="1" s="40"/>
    <row r="751" ht="15.75" customHeight="1" s="40"/>
    <row r="752" ht="15.75" customHeight="1" s="40"/>
    <row r="753" ht="15.75" customHeight="1" s="40"/>
    <row r="754" ht="15.75" customHeight="1" s="40"/>
    <row r="755" ht="15.75" customHeight="1" s="40"/>
    <row r="756" ht="15.75" customHeight="1" s="40"/>
    <row r="757" ht="15.75" customHeight="1" s="40"/>
    <row r="758" ht="15.75" customHeight="1" s="40"/>
    <row r="759" ht="15.75" customHeight="1" s="40"/>
    <row r="760" ht="15.75" customHeight="1" s="40"/>
    <row r="761" ht="15.75" customHeight="1" s="40"/>
    <row r="762" ht="15.75" customHeight="1" s="40"/>
    <row r="763" ht="15.75" customHeight="1" s="40"/>
    <row r="764" ht="15.75" customHeight="1" s="40"/>
    <row r="765" ht="15.75" customHeight="1" s="40"/>
    <row r="766" ht="15.75" customHeight="1" s="40"/>
    <row r="767" ht="15.75" customHeight="1" s="40"/>
    <row r="768" ht="15.75" customHeight="1" s="40"/>
    <row r="769" ht="15.75" customHeight="1" s="40"/>
    <row r="770" ht="15.75" customHeight="1" s="40"/>
    <row r="771" ht="15.75" customHeight="1" s="40"/>
    <row r="772" ht="15.75" customHeight="1" s="40"/>
    <row r="773" ht="15.75" customHeight="1" s="40"/>
    <row r="774" ht="15.75" customHeight="1" s="40"/>
    <row r="775" ht="15.75" customHeight="1" s="40"/>
    <row r="776" ht="15.75" customHeight="1" s="40"/>
    <row r="777" ht="15.75" customHeight="1" s="40"/>
    <row r="778" ht="15.75" customHeight="1" s="40"/>
    <row r="779" ht="15.75" customHeight="1" s="40"/>
    <row r="780" ht="15.75" customHeight="1" s="40"/>
    <row r="781" ht="15.75" customHeight="1" s="40"/>
    <row r="782" ht="15.75" customHeight="1" s="40"/>
    <row r="783" ht="15.75" customHeight="1" s="40"/>
    <row r="784" ht="15.75" customHeight="1" s="40"/>
    <row r="785" ht="15.75" customHeight="1" s="40"/>
    <row r="786" ht="15.75" customHeight="1" s="40"/>
    <row r="787" ht="15.75" customHeight="1" s="40"/>
    <row r="788" ht="15.75" customHeight="1" s="40"/>
    <row r="789" ht="15.75" customHeight="1" s="40"/>
    <row r="790" ht="15.75" customHeight="1" s="40"/>
    <row r="791" ht="15.75" customHeight="1" s="40"/>
    <row r="792" ht="15.75" customHeight="1" s="40"/>
    <row r="793" ht="15.75" customHeight="1" s="40"/>
    <row r="794" ht="15.75" customHeight="1" s="40"/>
    <row r="795" ht="15.75" customHeight="1" s="40"/>
    <row r="796" ht="15.75" customHeight="1" s="40"/>
    <row r="797" ht="15.75" customHeight="1" s="40"/>
    <row r="798" ht="15.75" customHeight="1" s="40"/>
    <row r="799" ht="15.75" customHeight="1" s="40"/>
    <row r="800" ht="15.75" customHeight="1" s="40"/>
    <row r="801" ht="15.75" customHeight="1" s="40"/>
    <row r="802" ht="15.75" customHeight="1" s="40"/>
    <row r="803" ht="15.75" customHeight="1" s="40"/>
    <row r="804" ht="15.75" customHeight="1" s="40"/>
    <row r="805" ht="15.75" customHeight="1" s="40"/>
    <row r="806" ht="15.75" customHeight="1" s="40"/>
    <row r="807" ht="15.75" customHeight="1" s="40"/>
    <row r="808" ht="15.75" customHeight="1" s="40"/>
    <row r="809" ht="15.75" customHeight="1" s="40"/>
    <row r="810" ht="15.75" customHeight="1" s="40"/>
    <row r="811" ht="15.75" customHeight="1" s="40"/>
    <row r="812" ht="15.75" customHeight="1" s="40"/>
    <row r="813" ht="15.75" customHeight="1" s="40"/>
    <row r="814" ht="15.75" customHeight="1" s="40"/>
    <row r="815" ht="15.75" customHeight="1" s="40"/>
    <row r="816" ht="15.75" customHeight="1" s="40"/>
    <row r="817" ht="15.75" customHeight="1" s="40"/>
    <row r="818" ht="15.75" customHeight="1" s="40"/>
    <row r="819" ht="15.75" customHeight="1" s="40"/>
    <row r="820" ht="15.75" customHeight="1" s="40"/>
    <row r="821" ht="15.75" customHeight="1" s="40"/>
    <row r="822" ht="15.75" customHeight="1" s="40"/>
    <row r="823" ht="15.75" customHeight="1" s="40"/>
    <row r="824" ht="15.75" customHeight="1" s="40"/>
    <row r="825" ht="15.75" customHeight="1" s="40"/>
    <row r="826" ht="15.75" customHeight="1" s="40"/>
    <row r="827" ht="15.75" customHeight="1" s="40"/>
    <row r="828" ht="15.75" customHeight="1" s="40"/>
    <row r="829" ht="15.75" customHeight="1" s="40"/>
    <row r="830" ht="15.75" customHeight="1" s="40"/>
    <row r="831" ht="15.75" customHeight="1" s="40"/>
    <row r="832" ht="15.75" customHeight="1" s="40"/>
    <row r="833" ht="15.75" customHeight="1" s="40"/>
    <row r="834" ht="15.75" customHeight="1" s="40"/>
    <row r="835" ht="15.75" customHeight="1" s="40"/>
    <row r="836" ht="15.75" customHeight="1" s="40"/>
    <row r="837" ht="15.75" customHeight="1" s="40"/>
    <row r="838" ht="15.75" customHeight="1" s="40"/>
    <row r="839" ht="15.75" customHeight="1" s="40"/>
    <row r="840" ht="15.75" customHeight="1" s="40"/>
    <row r="841" ht="15.75" customHeight="1" s="40"/>
    <row r="842" ht="15.75" customHeight="1" s="40"/>
    <row r="843" ht="15.75" customHeight="1" s="40"/>
    <row r="844" ht="15.75" customHeight="1" s="40"/>
    <row r="845" ht="15.75" customHeight="1" s="40"/>
    <row r="846" ht="15.75" customHeight="1" s="40"/>
    <row r="847" ht="15.75" customHeight="1" s="40"/>
    <row r="848" ht="15.75" customHeight="1" s="40"/>
    <row r="849" ht="15.75" customHeight="1" s="40"/>
    <row r="850" ht="15.75" customHeight="1" s="40"/>
    <row r="851" ht="15.75" customHeight="1" s="40"/>
    <row r="852" ht="15.75" customHeight="1" s="40"/>
    <row r="853" ht="15.75" customHeight="1" s="40"/>
    <row r="854" ht="15.75" customHeight="1" s="40"/>
    <row r="855" ht="15.75" customHeight="1" s="40"/>
    <row r="856" ht="15.75" customHeight="1" s="40"/>
    <row r="857" ht="15.75" customHeight="1" s="40"/>
    <row r="858" ht="15.75" customHeight="1" s="40"/>
    <row r="859" ht="15.75" customHeight="1" s="40"/>
    <row r="860" ht="15.75" customHeight="1" s="40"/>
    <row r="861" ht="15.75" customHeight="1" s="40"/>
    <row r="862" ht="15.75" customHeight="1" s="40"/>
    <row r="863" ht="15.75" customHeight="1" s="40"/>
    <row r="864" ht="15.75" customHeight="1" s="40"/>
    <row r="865" ht="15.75" customHeight="1" s="40"/>
    <row r="866" ht="15.75" customHeight="1" s="40"/>
    <row r="867" ht="15.75" customHeight="1" s="40"/>
    <row r="868" ht="15.75" customHeight="1" s="40"/>
    <row r="869" ht="15.75" customHeight="1" s="40"/>
    <row r="870" ht="15.75" customHeight="1" s="40"/>
    <row r="871" ht="15.75" customHeight="1" s="40"/>
    <row r="872" ht="15.75" customHeight="1" s="40"/>
    <row r="873" ht="15.75" customHeight="1" s="40"/>
    <row r="874" ht="15.75" customHeight="1" s="40"/>
    <row r="875" ht="15.75" customHeight="1" s="40"/>
    <row r="876" ht="15.75" customHeight="1" s="40"/>
    <row r="877" ht="15.75" customHeight="1" s="40"/>
    <row r="878" ht="15.75" customHeight="1" s="40"/>
    <row r="879" ht="15.75" customHeight="1" s="40"/>
    <row r="880" ht="15.75" customHeight="1" s="40"/>
    <row r="881" ht="15.75" customHeight="1" s="40"/>
    <row r="882" ht="15.75" customHeight="1" s="40"/>
    <row r="883" ht="15.75" customHeight="1" s="40"/>
    <row r="884" ht="15.75" customHeight="1" s="40"/>
    <row r="885" ht="15.75" customHeight="1" s="40"/>
    <row r="886" ht="15.75" customHeight="1" s="40"/>
    <row r="887" ht="15.75" customHeight="1" s="40"/>
    <row r="888" ht="15.75" customHeight="1" s="40"/>
    <row r="889" ht="15.75" customHeight="1" s="40"/>
    <row r="890" ht="15.75" customHeight="1" s="40"/>
    <row r="891" ht="15.75" customHeight="1" s="40"/>
    <row r="892" ht="15.75" customHeight="1" s="40"/>
    <row r="893" ht="15.75" customHeight="1" s="40"/>
    <row r="894" ht="15.75" customHeight="1" s="40"/>
    <row r="895" ht="15.75" customHeight="1" s="40"/>
    <row r="896" ht="15.75" customHeight="1" s="40"/>
    <row r="897" ht="15.75" customHeight="1" s="40"/>
    <row r="898" ht="15.75" customHeight="1" s="40"/>
    <row r="899" ht="15.75" customHeight="1" s="40"/>
    <row r="900" ht="15.75" customHeight="1" s="40"/>
    <row r="901" ht="15.75" customHeight="1" s="40"/>
    <row r="902" ht="15.75" customHeight="1" s="40"/>
    <row r="903" ht="15.75" customHeight="1" s="40"/>
    <row r="904" ht="15.75" customHeight="1" s="40"/>
    <row r="905" ht="15.75" customHeight="1" s="40"/>
    <row r="906" ht="15.75" customHeight="1" s="40"/>
    <row r="907" ht="15.75" customHeight="1" s="40"/>
    <row r="908" ht="15.75" customHeight="1" s="40"/>
    <row r="909" ht="15.75" customHeight="1" s="40"/>
    <row r="910" ht="15.75" customHeight="1" s="40"/>
    <row r="911" ht="15.75" customHeight="1" s="40"/>
    <row r="912" ht="15.75" customHeight="1" s="40"/>
    <row r="913" ht="15.75" customHeight="1" s="40"/>
    <row r="914" ht="15.75" customHeight="1" s="40"/>
    <row r="915" ht="15.75" customHeight="1" s="40"/>
    <row r="916" ht="15.75" customHeight="1" s="40"/>
    <row r="917" ht="15.75" customHeight="1" s="40"/>
    <row r="918" ht="15.75" customHeight="1" s="40"/>
    <row r="919" ht="15.75" customHeight="1" s="40"/>
    <row r="920" ht="15.75" customHeight="1" s="40"/>
    <row r="921" ht="15.75" customHeight="1" s="40"/>
    <row r="922" ht="15.75" customHeight="1" s="40"/>
    <row r="923" ht="15.75" customHeight="1" s="40"/>
    <row r="924" ht="15.75" customHeight="1" s="40"/>
    <row r="925" ht="15.75" customHeight="1" s="40"/>
    <row r="926" ht="15.75" customHeight="1" s="40"/>
    <row r="927" ht="15.75" customHeight="1" s="40"/>
    <row r="928" ht="15.75" customHeight="1" s="40"/>
    <row r="929" ht="15.75" customHeight="1" s="40"/>
    <row r="930" ht="15.75" customHeight="1" s="40"/>
    <row r="931" ht="15.75" customHeight="1" s="40"/>
    <row r="932" ht="15.75" customHeight="1" s="40"/>
    <row r="933" ht="15.75" customHeight="1" s="40"/>
    <row r="934" ht="15.75" customHeight="1" s="40"/>
    <row r="935" ht="15.75" customHeight="1" s="40"/>
    <row r="936" ht="15.75" customHeight="1" s="40"/>
    <row r="937" ht="15.75" customHeight="1" s="40"/>
    <row r="938" ht="15.75" customHeight="1" s="40"/>
    <row r="939" ht="15.75" customHeight="1" s="40"/>
    <row r="940" ht="15.75" customHeight="1" s="40"/>
    <row r="941" ht="15.75" customHeight="1" s="40"/>
    <row r="942" ht="15.75" customHeight="1" s="40"/>
    <row r="943" ht="15.75" customHeight="1" s="40"/>
    <row r="944" ht="15.75" customHeight="1" s="40"/>
    <row r="945" ht="15.75" customHeight="1" s="40"/>
    <row r="946" ht="15.75" customHeight="1" s="40"/>
    <row r="947" ht="15.75" customHeight="1" s="40"/>
    <row r="948" ht="15.75" customHeight="1" s="40"/>
    <row r="949" ht="15.75" customHeight="1" s="40"/>
    <row r="950" ht="15.75" customHeight="1" s="40"/>
    <row r="951" ht="15.75" customHeight="1" s="40"/>
    <row r="952" ht="15.75" customHeight="1" s="40"/>
    <row r="953" ht="15.75" customHeight="1" s="40"/>
    <row r="954" ht="15.75" customHeight="1" s="40"/>
    <row r="955" ht="15.75" customHeight="1" s="40"/>
    <row r="956" ht="15.75" customHeight="1" s="40"/>
    <row r="957" ht="15.75" customHeight="1" s="40"/>
    <row r="958" ht="15.75" customHeight="1" s="40"/>
    <row r="959" ht="15.75" customHeight="1" s="40"/>
    <row r="960" ht="15.75" customHeight="1" s="40"/>
    <row r="961" ht="15.75" customHeight="1" s="40"/>
    <row r="962" ht="15.75" customHeight="1" s="40"/>
    <row r="963" ht="15.75" customHeight="1" s="40"/>
    <row r="964" ht="15.75" customHeight="1" s="40"/>
    <row r="965" ht="15.75" customHeight="1" s="40"/>
    <row r="966" ht="15.75" customHeight="1" s="40"/>
    <row r="967" ht="15.75" customHeight="1" s="40"/>
    <row r="968" ht="15.75" customHeight="1" s="40"/>
    <row r="969" ht="15.75" customHeight="1" s="40"/>
    <row r="970" ht="15.75" customHeight="1" s="40"/>
    <row r="971" ht="15.75" customHeight="1" s="40"/>
    <row r="972" ht="15.75" customHeight="1" s="40"/>
    <row r="973" ht="15.75" customHeight="1" s="40"/>
    <row r="974" ht="15.75" customHeight="1" s="40"/>
    <row r="975" ht="15.75" customHeight="1" s="40"/>
    <row r="976" ht="15.75" customHeight="1" s="40"/>
    <row r="977" ht="15.75" customHeight="1" s="40"/>
    <row r="978" ht="15.75" customHeight="1" s="40"/>
    <row r="979" ht="15.75" customHeight="1" s="40"/>
    <row r="980" ht="15.75" customHeight="1" s="40"/>
    <row r="981" ht="15.75" customHeight="1" s="40"/>
    <row r="982" ht="15.75" customHeight="1" s="40"/>
    <row r="983" ht="15.75" customHeight="1" s="40"/>
    <row r="984" ht="15.75" customHeight="1" s="40"/>
    <row r="985" ht="15.75" customHeight="1" s="40"/>
    <row r="986" ht="15.75" customHeight="1" s="40"/>
    <row r="987" ht="15.75" customHeight="1" s="40"/>
    <row r="988" ht="15.75" customHeight="1" s="40"/>
    <row r="989" ht="15.75" customHeight="1" s="40"/>
    <row r="990" ht="15.75" customHeight="1" s="40"/>
    <row r="991" ht="15.75" customHeight="1" s="40"/>
    <row r="992" ht="15.75" customHeight="1" s="40"/>
    <row r="993" ht="15.75" customHeight="1" s="40"/>
    <row r="994" ht="15.75" customHeight="1" s="40"/>
    <row r="995" ht="15.75" customHeight="1" s="40"/>
    <row r="996" ht="15.75" customHeight="1" s="40"/>
    <row r="997" ht="15.75" customHeight="1" s="40"/>
    <row r="998" ht="15.75" customHeight="1" s="40"/>
    <row r="999" ht="15.75" customHeight="1" s="40"/>
    <row r="1000" ht="15.75" customHeight="1" s="40"/>
  </sheetData>
  <mergeCells count="2">
    <mergeCell ref="A1:J1"/>
    <mergeCell ref="A2:J2"/>
  </mergeCells>
  <pageMargins left="0.75" right="0.75" top="1" bottom="1" header="0" footer="0"/>
  <pageSetup orientation="portrait" paperSize="9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78"/>
  <sheetViews>
    <sheetView showGridLines="0" workbookViewId="0">
      <pane ySplit="3" topLeftCell="A4" activePane="bottomLeft" state="frozen"/>
      <selection pane="bottomLeft" activeCell="B5" sqref="B5"/>
    </sheetView>
  </sheetViews>
  <sheetFormatPr baseColWidth="8" defaultColWidth="14.43" defaultRowHeight="15" customHeight="1"/>
  <cols>
    <col width="15" customWidth="1" style="40" min="1" max="1"/>
    <col width="40" customWidth="1" style="40" min="2" max="2"/>
    <col width="15" customWidth="1" style="40" min="3" max="3"/>
    <col width="44" customWidth="1" style="40" min="4" max="4"/>
    <col width="10" customWidth="1" style="40" min="5" max="5"/>
    <col width="8.710000000000001" customWidth="1" style="40" min="6" max="26"/>
  </cols>
  <sheetData>
    <row r="1" ht="27.75" customHeight="1" s="40">
      <c r="A1" s="46" t="inlineStr">
        <is>
          <t>TRAZABILIDAD  ·  backlog anterior → historia nueva  (v1.1: reenfoque en digitalización de cuadernos con IA)</t>
        </is>
      </c>
    </row>
    <row r="3" ht="30" customHeight="1" s="40">
      <c r="A3" s="10" t="inlineStr">
        <is>
          <t>Código anterior</t>
        </is>
      </c>
      <c r="B3" s="10" t="inlineStr">
        <is>
          <t>Funcionalidad anterior</t>
        </is>
      </c>
      <c r="C3" s="10" t="inlineStr">
        <is>
          <t>Prioridad anterior</t>
        </is>
      </c>
      <c r="D3" s="10" t="inlineStr">
        <is>
          <t>Historia nueva</t>
        </is>
      </c>
      <c r="E3" s="10" t="inlineStr">
        <is>
          <t>MVP</t>
        </is>
      </c>
    </row>
    <row r="4">
      <c r="A4" s="12" t="inlineStr">
        <is>
          <t>ENS-001</t>
        </is>
      </c>
      <c r="B4" s="14" t="inlineStr">
        <is>
          <t>Registro de cuenta</t>
        </is>
      </c>
      <c r="C4" s="12" t="inlineStr">
        <is>
          <t>MVP</t>
        </is>
      </c>
      <c r="D4" s="14" t="inlineStr">
        <is>
          <t>H-01 · Acceso y sesión</t>
        </is>
      </c>
      <c r="E4" s="12" t="inlineStr">
        <is>
          <t>MVP 2</t>
        </is>
      </c>
    </row>
    <row r="5">
      <c r="A5" s="17" t="inlineStr">
        <is>
          <t>ENS-002</t>
        </is>
      </c>
      <c r="B5" s="16" t="inlineStr">
        <is>
          <t>Inicio de sesión</t>
        </is>
      </c>
      <c r="C5" s="17" t="inlineStr">
        <is>
          <t>MVP</t>
        </is>
      </c>
      <c r="D5" s="16" t="inlineStr">
        <is>
          <t>H-01 · Acceso y sesión</t>
        </is>
      </c>
      <c r="E5" s="17" t="inlineStr">
        <is>
          <t>MVP 2</t>
        </is>
      </c>
    </row>
    <row r="6">
      <c r="A6" s="12" t="inlineStr">
        <is>
          <t>ENS-003</t>
        </is>
      </c>
      <c r="B6" s="14" t="inlineStr">
        <is>
          <t>Cerrar sesión</t>
        </is>
      </c>
      <c r="C6" s="12" t="inlineStr">
        <is>
          <t>MVP</t>
        </is>
      </c>
      <c r="D6" s="14" t="inlineStr">
        <is>
          <t>H-01 · Acceso y sesión</t>
        </is>
      </c>
      <c r="E6" s="12" t="inlineStr">
        <is>
          <t>MVP 2</t>
        </is>
      </c>
    </row>
    <row r="7">
      <c r="A7" s="17" t="inlineStr">
        <is>
          <t>ENS-004</t>
        </is>
      </c>
      <c r="B7" s="16" t="inlineStr">
        <is>
          <t>Recuperación de contraseña</t>
        </is>
      </c>
      <c r="C7" s="17" t="inlineStr">
        <is>
          <t>Después</t>
        </is>
      </c>
      <c r="D7" s="16" t="inlineStr">
        <is>
          <t>H-10 · Gestión de cuenta y negocio</t>
        </is>
      </c>
      <c r="E7" s="17" t="inlineStr">
        <is>
          <t>MVP 3</t>
        </is>
      </c>
    </row>
    <row r="8">
      <c r="A8" s="12" t="inlineStr">
        <is>
          <t>ENS-005</t>
        </is>
      </c>
      <c r="B8" s="14" t="inlineStr">
        <is>
          <t>Protección de rutas y sesiones</t>
        </is>
      </c>
      <c r="C8" s="12" t="inlineStr">
        <is>
          <t>MVP</t>
        </is>
      </c>
      <c r="D8" s="14" t="inlineStr">
        <is>
          <t>H-01 · Acceso y sesión</t>
        </is>
      </c>
      <c r="E8" s="12" t="inlineStr">
        <is>
          <t>MVP 2</t>
        </is>
      </c>
    </row>
    <row r="9">
      <c r="A9" s="17" t="inlineStr">
        <is>
          <t>ENS-006</t>
        </is>
      </c>
      <c r="B9" s="16" t="inlineStr">
        <is>
          <t>Crear espacio de negocio</t>
        </is>
      </c>
      <c r="C9" s="17" t="inlineStr">
        <is>
          <t>MVP</t>
        </is>
      </c>
      <c r="D9" s="16" t="inlineStr">
        <is>
          <t>H-02 · Espacio de negocio y aislamiento de datos</t>
        </is>
      </c>
      <c r="E9" s="17" t="inlineStr">
        <is>
          <t>MVP 2</t>
        </is>
      </c>
    </row>
    <row r="10">
      <c r="A10" s="12" t="inlineStr">
        <is>
          <t>ENS-007</t>
        </is>
      </c>
      <c r="B10" s="14" t="inlineStr">
        <is>
          <t>Editar datos del negocio</t>
        </is>
      </c>
      <c r="C10" s="12" t="inlineStr">
        <is>
          <t>MVP</t>
        </is>
      </c>
      <c r="D10" s="14" t="inlineStr">
        <is>
          <t>H-10 · Gestión de cuenta y negocio</t>
        </is>
      </c>
      <c r="E10" s="12" t="inlineStr">
        <is>
          <t>MVP 3</t>
        </is>
      </c>
    </row>
    <row r="11">
      <c r="A11" s="17" t="inlineStr">
        <is>
          <t>ENS-008</t>
        </is>
      </c>
      <c r="B11" s="16" t="inlineStr">
        <is>
          <t>Estado inicial guiado</t>
        </is>
      </c>
      <c r="C11" s="17" t="inlineStr">
        <is>
          <t>MVP</t>
        </is>
      </c>
      <c r="D11" s="16" t="inlineStr">
        <is>
          <t>H-03 · Crear proyecto desde plantilla o en blanco</t>
        </is>
      </c>
      <c r="E11" s="17" t="inlineStr">
        <is>
          <t>MVP 2</t>
        </is>
      </c>
    </row>
    <row r="12">
      <c r="A12" s="12" t="inlineStr">
        <is>
          <t>ENS-009</t>
        </is>
      </c>
      <c r="B12" s="14" t="inlineStr">
        <is>
          <t>Cambiar entre espacios</t>
        </is>
      </c>
      <c r="C12" s="12" t="inlineStr">
        <is>
          <t>Después</t>
        </is>
      </c>
      <c r="D12" s="14" t="inlineStr">
        <is>
          <t>H-19 · Equipos: espacios, roles e invitaciones</t>
        </is>
      </c>
      <c r="E12" s="12" t="inlineStr">
        <is>
          <t>MVP 4</t>
        </is>
      </c>
    </row>
    <row r="13">
      <c r="A13" s="17" t="inlineStr">
        <is>
          <t>ENS-010</t>
        </is>
      </c>
      <c r="B13" s="16" t="inlineStr">
        <is>
          <t>Catálogo de plantillas</t>
        </is>
      </c>
      <c r="C13" s="17" t="inlineStr">
        <is>
          <t>MVP</t>
        </is>
      </c>
      <c r="D13" s="16" t="inlineStr">
        <is>
          <t>H-03 · Crear proyecto desde plantilla o en blanco</t>
        </is>
      </c>
      <c r="E13" s="17" t="inlineStr">
        <is>
          <t>MVP 2</t>
        </is>
      </c>
    </row>
    <row r="14">
      <c r="A14" s="12" t="inlineStr">
        <is>
          <t>ENS-011</t>
        </is>
      </c>
      <c r="B14" s="14" t="inlineStr">
        <is>
          <t>Vista previa de plantilla</t>
        </is>
      </c>
      <c r="C14" s="12" t="inlineStr">
        <is>
          <t>MVP</t>
        </is>
      </c>
      <c r="D14" s="14" t="inlineStr">
        <is>
          <t>H-11 · Plantillas y proyectos: vista previa y duplicado</t>
        </is>
      </c>
      <c r="E14" s="12" t="inlineStr">
        <is>
          <t>MVP 3</t>
        </is>
      </c>
    </row>
    <row r="15">
      <c r="A15" s="17" t="inlineStr">
        <is>
          <t>ENS-012</t>
        </is>
      </c>
      <c r="B15" s="16" t="inlineStr">
        <is>
          <t>Crear proyecto desde plantilla</t>
        </is>
      </c>
      <c r="C15" s="17" t="inlineStr">
        <is>
          <t>MVP</t>
        </is>
      </c>
      <c r="D15" s="16" t="inlineStr">
        <is>
          <t>H-03 · Crear proyecto desde plantilla o en blanco</t>
        </is>
      </c>
      <c r="E15" s="17" t="inlineStr">
        <is>
          <t>MVP 2</t>
        </is>
      </c>
    </row>
    <row r="16">
      <c r="A16" s="12" t="inlineStr">
        <is>
          <t>ENS-013</t>
        </is>
      </c>
      <c r="B16" s="14" t="inlineStr">
        <is>
          <t>Crear proyecto en blanco</t>
        </is>
      </c>
      <c r="C16" s="12" t="inlineStr">
        <is>
          <t>MVP</t>
        </is>
      </c>
      <c r="D16" s="14" t="inlineStr">
        <is>
          <t>H-03 · Crear proyecto desde plantilla o en blanco</t>
        </is>
      </c>
      <c r="E16" s="12" t="inlineStr">
        <is>
          <t>MVP 2</t>
        </is>
      </c>
    </row>
    <row r="17">
      <c r="A17" s="17" t="inlineStr">
        <is>
          <t>ENS-014</t>
        </is>
      </c>
      <c r="B17" s="16" t="inlineStr">
        <is>
          <t>Duplicar un proyecto</t>
        </is>
      </c>
      <c r="C17" s="17" t="inlineStr">
        <is>
          <t>Después</t>
        </is>
      </c>
      <c r="D17" s="16" t="inlineStr">
        <is>
          <t>H-11 · Plantillas y proyectos: vista previa y duplicado</t>
        </is>
      </c>
      <c r="E17" s="17" t="inlineStr">
        <is>
          <t>MVP 3</t>
        </is>
      </c>
    </row>
    <row r="18">
      <c r="A18" s="12" t="inlineStr">
        <is>
          <t>ENS-015</t>
        </is>
      </c>
      <c r="B18" s="14" t="inlineStr">
        <is>
          <t>Área de construcción</t>
        </is>
      </c>
      <c r="C18" s="12" t="inlineStr">
        <is>
          <t>MVP</t>
        </is>
      </c>
      <c r="D18" s="14" t="inlineStr">
        <is>
          <t>H-04 · Constructor de bloques y campos</t>
        </is>
      </c>
      <c r="E18" s="12" t="inlineStr">
        <is>
          <t>MVP 2</t>
        </is>
      </c>
    </row>
    <row r="19">
      <c r="A19" s="17" t="inlineStr">
        <is>
          <t>ENS-016</t>
        </is>
      </c>
      <c r="B19" s="16" t="inlineStr">
        <is>
          <t>Agregar bloque de datos</t>
        </is>
      </c>
      <c r="C19" s="17" t="inlineStr">
        <is>
          <t>MVP</t>
        </is>
      </c>
      <c r="D19" s="16" t="inlineStr">
        <is>
          <t>H-04 · Constructor de bloques y campos</t>
        </is>
      </c>
      <c r="E19" s="17" t="inlineStr">
        <is>
          <t>MVP 2</t>
        </is>
      </c>
    </row>
    <row r="20">
      <c r="A20" s="12" t="inlineStr">
        <is>
          <t>ENS-017</t>
        </is>
      </c>
      <c r="B20" s="14" t="inlineStr">
        <is>
          <t>Crear campos tipados</t>
        </is>
      </c>
      <c r="C20" s="12" t="inlineStr">
        <is>
          <t>MVP</t>
        </is>
      </c>
      <c r="D20" s="14" t="inlineStr">
        <is>
          <t>H-04 · Constructor de bloques y campos</t>
        </is>
      </c>
      <c r="E20" s="12" t="inlineStr">
        <is>
          <t>MVP 2</t>
        </is>
      </c>
    </row>
    <row r="21" ht="15.75" customHeight="1" s="40">
      <c r="A21" s="17" t="inlineStr">
        <is>
          <t>ENS-018</t>
        </is>
      </c>
      <c r="B21" s="16" t="inlineStr">
        <is>
          <t>Reglas básicas de campos</t>
        </is>
      </c>
      <c r="C21" s="17" t="inlineStr">
        <is>
          <t>MVP</t>
        </is>
      </c>
      <c r="D21" s="16" t="inlineStr">
        <is>
          <t>H-04 · Constructor de bloques y campos</t>
        </is>
      </c>
      <c r="E21" s="17" t="inlineStr">
        <is>
          <t>MVP 2</t>
        </is>
      </c>
    </row>
    <row r="22" ht="15.75" customHeight="1" s="40">
      <c r="A22" s="12" t="inlineStr">
        <is>
          <t>ENS-019</t>
        </is>
      </c>
      <c r="B22" s="14" t="inlineStr">
        <is>
          <t>Reordenar campos</t>
        </is>
      </c>
      <c r="C22" s="12" t="inlineStr">
        <is>
          <t>Después</t>
        </is>
      </c>
      <c r="D22" s="14" t="inlineStr">
        <is>
          <t>H-12 · Cambios seguros en la estructura</t>
        </is>
      </c>
      <c r="E22" s="12" t="inlineStr">
        <is>
          <t>MVP 3</t>
        </is>
      </c>
    </row>
    <row r="23" ht="15.75" customHeight="1" s="40">
      <c r="A23" s="17" t="inlineStr">
        <is>
          <t>ENS-020</t>
        </is>
      </c>
      <c r="B23" s="16" t="inlineStr">
        <is>
          <t>Modificar / eliminar campos con aviso</t>
        </is>
      </c>
      <c r="C23" s="17" t="inlineStr">
        <is>
          <t>MVP</t>
        </is>
      </c>
      <c r="D23" s="16" t="inlineStr">
        <is>
          <t>H-12 · Cambios seguros en la estructura</t>
        </is>
      </c>
      <c r="E23" s="17" t="inlineStr">
        <is>
          <t>MVP 3</t>
        </is>
      </c>
    </row>
    <row r="24" ht="15.75" customHeight="1" s="40">
      <c r="A24" s="12" t="inlineStr">
        <is>
          <t>ENS-021</t>
        </is>
      </c>
      <c r="B24" s="14" t="inlineStr">
        <is>
          <t>Persistencia de la configuración</t>
        </is>
      </c>
      <c r="C24" s="12" t="inlineStr">
        <is>
          <t>MVP</t>
        </is>
      </c>
      <c r="D24" s="14" t="inlineStr">
        <is>
          <t>H-04 · Constructor de bloques y campos</t>
        </is>
      </c>
      <c r="E24" s="12" t="inlineStr">
        <is>
          <t>MVP 2</t>
        </is>
      </c>
    </row>
    <row r="25" ht="15.75" customHeight="1" s="40">
      <c r="A25" s="17" t="inlineStr">
        <is>
          <t>ENS-022</t>
        </is>
      </c>
      <c r="B25" s="16" t="inlineStr">
        <is>
          <t>Vista previa en el constructor</t>
        </is>
      </c>
      <c r="C25" s="17" t="inlineStr">
        <is>
          <t>MVP</t>
        </is>
      </c>
      <c r="D25" s="16" t="inlineStr">
        <is>
          <t>H-07 · Modo construir / modo usar</t>
        </is>
      </c>
      <c r="E25" s="17" t="inlineStr">
        <is>
          <t>MVP 3</t>
        </is>
      </c>
    </row>
    <row r="26" ht="15.75" customHeight="1" s="40">
      <c r="A26" s="12" t="inlineStr">
        <is>
          <t>ENS-023</t>
        </is>
      </c>
      <c r="B26" s="14" t="inlineStr">
        <is>
          <t>Generar formulario desde campos</t>
        </is>
      </c>
      <c r="C26" s="12" t="inlineStr">
        <is>
          <t>MVP</t>
        </is>
      </c>
      <c r="D26" s="14" t="inlineStr">
        <is>
          <t>H-05 · Formulario de carga generado automáticamente</t>
        </is>
      </c>
      <c r="E26" s="12" t="inlineStr">
        <is>
          <t>MVP 2</t>
        </is>
      </c>
    </row>
    <row r="27" ht="15.75" customHeight="1" s="40">
      <c r="A27" s="17" t="inlineStr">
        <is>
          <t>ENS-024</t>
        </is>
      </c>
      <c r="B27" s="16" t="inlineStr">
        <is>
          <t>Validaciones al cargar datos</t>
        </is>
      </c>
      <c r="C27" s="17" t="inlineStr">
        <is>
          <t>MVP</t>
        </is>
      </c>
      <c r="D27" s="16" t="inlineStr">
        <is>
          <t>H-05 · Formulario de carga generado automáticamente</t>
        </is>
      </c>
      <c r="E27" s="17" t="inlineStr">
        <is>
          <t>MVP 2</t>
        </is>
      </c>
    </row>
    <row r="28" ht="15.75" customHeight="1" s="40">
      <c r="A28" s="12" t="inlineStr">
        <is>
          <t>ENS-025</t>
        </is>
      </c>
      <c r="B28" s="14" t="inlineStr">
        <is>
          <t>Guardar un registro</t>
        </is>
      </c>
      <c r="C28" s="12" t="inlineStr">
        <is>
          <t>MVP</t>
        </is>
      </c>
      <c r="D28" s="14" t="inlineStr">
        <is>
          <t>H-05 · Formulario de carga generado automáticamente</t>
        </is>
      </c>
      <c r="E28" s="12" t="inlineStr">
        <is>
          <t>MVP 2</t>
        </is>
      </c>
    </row>
    <row r="29" ht="15.75" customHeight="1" s="40">
      <c r="A29" s="17" t="inlineStr">
        <is>
          <t>ENS-026</t>
        </is>
      </c>
      <c r="B29" s="16" t="inlineStr">
        <is>
          <t>Editar registro existente</t>
        </is>
      </c>
      <c r="C29" s="17" t="inlineStr">
        <is>
          <t>MVP</t>
        </is>
      </c>
      <c r="D29" s="16" t="inlineStr">
        <is>
          <t>H-06 · Tabla de registros con gestión completa</t>
        </is>
      </c>
      <c r="E29" s="17" t="inlineStr">
        <is>
          <t>MVP 2</t>
        </is>
      </c>
    </row>
    <row r="30" ht="15.75" customHeight="1" s="40">
      <c r="A30" s="12" t="inlineStr">
        <is>
          <t>ENS-027</t>
        </is>
      </c>
      <c r="B30" s="14" t="inlineStr">
        <is>
          <t>Adjuntar archivos</t>
        </is>
      </c>
      <c r="C30" s="12" t="inlineStr">
        <is>
          <t>Futuro</t>
        </is>
      </c>
      <c r="D30" s="14" t="inlineStr">
        <is>
          <t>H-23 · Adjuntar archivos a registros</t>
        </is>
      </c>
      <c r="E30" s="12" t="inlineStr">
        <is>
          <t>MVP 4</t>
        </is>
      </c>
    </row>
    <row r="31" ht="15.75" customHeight="1" s="40">
      <c r="A31" s="17" t="inlineStr">
        <is>
          <t>ENS-028</t>
        </is>
      </c>
      <c r="B31" s="16" t="inlineStr">
        <is>
          <t>Confirmaciones comprensibles</t>
        </is>
      </c>
      <c r="C31" s="17" t="inlineStr">
        <is>
          <t>MVP</t>
        </is>
      </c>
      <c r="D31" s="16" t="inlineStr">
        <is>
          <t>H-05 · Formulario de carga generado automáticamente</t>
        </is>
      </c>
      <c r="E31" s="17" t="inlineStr">
        <is>
          <t>MVP 2</t>
        </is>
      </c>
    </row>
    <row r="32" ht="15.75" customHeight="1" s="40">
      <c r="A32" s="12" t="inlineStr">
        <is>
          <t>ENS-029</t>
        </is>
      </c>
      <c r="B32" s="14" t="inlineStr">
        <is>
          <t>Vista tabular de registros</t>
        </is>
      </c>
      <c r="C32" s="12" t="inlineStr">
        <is>
          <t>MVP</t>
        </is>
      </c>
      <c r="D32" s="14" t="inlineStr">
        <is>
          <t>H-06 · Tabla de registros con gestión completa</t>
        </is>
      </c>
      <c r="E32" s="12" t="inlineStr">
        <is>
          <t>MVP 2</t>
        </is>
      </c>
    </row>
    <row r="33" ht="15.75" customHeight="1" s="40">
      <c r="A33" s="17" t="inlineStr">
        <is>
          <t>ENS-030</t>
        </is>
      </c>
      <c r="B33" s="16" t="inlineStr">
        <is>
          <t>Buscar y ordenar</t>
        </is>
      </c>
      <c r="C33" s="17" t="inlineStr">
        <is>
          <t>MVP</t>
        </is>
      </c>
      <c r="D33" s="16" t="inlineStr">
        <is>
          <t>H-06 · Tabla de registros con gestión completa</t>
        </is>
      </c>
      <c r="E33" s="17" t="inlineStr">
        <is>
          <t>MVP 2</t>
        </is>
      </c>
    </row>
    <row r="34" ht="15.75" customHeight="1" s="40">
      <c r="A34" s="12" t="inlineStr">
        <is>
          <t>ENS-031</t>
        </is>
      </c>
      <c r="B34" s="14" t="inlineStr">
        <is>
          <t>Ficha completa de registro</t>
        </is>
      </c>
      <c r="C34" s="12" t="inlineStr">
        <is>
          <t>MVP</t>
        </is>
      </c>
      <c r="D34" s="14" t="inlineStr">
        <is>
          <t>H-06 · Tabla de registros con gestión completa</t>
        </is>
      </c>
      <c r="E34" s="12" t="inlineStr">
        <is>
          <t>MVP 2</t>
        </is>
      </c>
    </row>
    <row r="35" ht="15.75" customHeight="1" s="40">
      <c r="A35" s="17" t="inlineStr">
        <is>
          <t>ENS-032</t>
        </is>
      </c>
      <c r="B35" s="16" t="inlineStr">
        <is>
          <t>Personalización de columnas</t>
        </is>
      </c>
      <c r="C35" s="17" t="inlineStr">
        <is>
          <t>MVP</t>
        </is>
      </c>
      <c r="D35" s="16" t="inlineStr">
        <is>
          <t>H-14 · Personalización de columnas (computadora y celular)</t>
        </is>
      </c>
      <c r="E35" s="17" t="inlineStr">
        <is>
          <t>MVP 3</t>
        </is>
      </c>
    </row>
    <row r="36" ht="15.75" customHeight="1" s="40">
      <c r="A36" s="12" t="inlineStr">
        <is>
          <t>ENS-033</t>
        </is>
      </c>
      <c r="B36" s="14" t="inlineStr">
        <is>
          <t>Eliminar un registro</t>
        </is>
      </c>
      <c r="C36" s="12" t="inlineStr">
        <is>
          <t>MVP</t>
        </is>
      </c>
      <c r="D36" s="14" t="inlineStr">
        <is>
          <t>H-06 · Tabla de registros con gestión completa</t>
        </is>
      </c>
      <c r="E36" s="12" t="inlineStr">
        <is>
          <t>MVP 2</t>
        </is>
      </c>
    </row>
    <row r="37" ht="15.75" customHeight="1" s="40">
      <c r="A37" s="17" t="inlineStr">
        <is>
          <t>ENS-034</t>
        </is>
      </c>
      <c r="B37" s="16" t="inlineStr">
        <is>
          <t>Importar / exportar CSV</t>
        </is>
      </c>
      <c r="C37" s="17" t="inlineStr">
        <is>
          <t>Después</t>
        </is>
      </c>
      <c r="D37" s="16" t="inlineStr">
        <is>
          <t>H-15 · Importar y exportar datos (CSV / planilla)</t>
        </is>
      </c>
      <c r="E37" s="17" t="inlineStr">
        <is>
          <t>MVP 4</t>
        </is>
      </c>
    </row>
    <row r="38" ht="15.75" customHeight="1" s="40">
      <c r="A38" s="12" t="inlineStr">
        <is>
          <t>ENS-035</t>
        </is>
      </c>
      <c r="B38" s="14" t="inlineStr">
        <is>
          <t>Navegación simple y coherente</t>
        </is>
      </c>
      <c r="C38" s="12" t="inlineStr">
        <is>
          <t>MVP</t>
        </is>
      </c>
      <c r="D38" s="14" t="inlineStr">
        <is>
          <t>H-08 · Interfaz accesible para personas mayores</t>
        </is>
      </c>
      <c r="E38" s="12" t="inlineStr">
        <is>
          <t>MVP 2</t>
        </is>
      </c>
    </row>
    <row r="39" ht="15.75" customHeight="1" s="40">
      <c r="A39" s="17" t="inlineStr">
        <is>
          <t>ENS-036</t>
        </is>
      </c>
      <c r="B39" s="16" t="inlineStr">
        <is>
          <t>Diseño adaptable a celular</t>
        </is>
      </c>
      <c r="C39" s="17" t="inlineStr">
        <is>
          <t>MVP</t>
        </is>
      </c>
      <c r="D39" s="16" t="inlineStr">
        <is>
          <t>H-08 · Interfaz accesible para personas mayores</t>
        </is>
      </c>
      <c r="E39" s="17" t="inlineStr">
        <is>
          <t>MVP 2</t>
        </is>
      </c>
    </row>
    <row r="40" ht="15.75" customHeight="1" s="40">
      <c r="A40" s="12" t="inlineStr">
        <is>
          <t>ENS-037</t>
        </is>
      </c>
      <c r="B40" s="14" t="inlineStr">
        <is>
          <t>Configuración móvil independiente</t>
        </is>
      </c>
      <c r="C40" s="12" t="inlineStr">
        <is>
          <t>Después</t>
        </is>
      </c>
      <c r="D40" s="14" t="inlineStr">
        <is>
          <t>H-14 · Personalización de columnas (computadora y celular)</t>
        </is>
      </c>
      <c r="E40" s="12" t="inlineStr">
        <is>
          <t>MVP 3</t>
        </is>
      </c>
    </row>
    <row r="41" ht="15.75" customHeight="1" s="40">
      <c r="A41" s="17" t="inlineStr">
        <is>
          <t>ENS-038</t>
        </is>
      </c>
      <c r="B41" s="16" t="inlineStr">
        <is>
          <t>Accesibilidad esencial</t>
        </is>
      </c>
      <c r="C41" s="17" t="inlineStr">
        <is>
          <t>MVP</t>
        </is>
      </c>
      <c r="D41" s="16" t="inlineStr">
        <is>
          <t>H-08 · Interfaz accesible para personas mayores</t>
        </is>
      </c>
      <c r="E41" s="17" t="inlineStr">
        <is>
          <t>MVP 2</t>
        </is>
      </c>
    </row>
    <row r="42" ht="15.75" customHeight="1" s="40">
      <c r="A42" s="12" t="inlineStr">
        <is>
          <t>ENS-039</t>
        </is>
      </c>
      <c r="B42" s="14" t="inlineStr">
        <is>
          <t>Estados vacíos, carga y error</t>
        </is>
      </c>
      <c r="C42" s="12" t="inlineStr">
        <is>
          <t>MVP</t>
        </is>
      </c>
      <c r="D42" s="14" t="inlineStr">
        <is>
          <t>H-08 · Interfaz accesible para personas mayores</t>
        </is>
      </c>
      <c r="E42" s="12" t="inlineStr">
        <is>
          <t>MVP 2</t>
        </is>
      </c>
    </row>
    <row r="43" ht="15.75" customHeight="1" s="40">
      <c r="A43" s="17" t="inlineStr">
        <is>
          <t>ENS-040</t>
        </is>
      </c>
      <c r="B43" s="16" t="inlineStr">
        <is>
          <t>Tutorial inicial breve</t>
        </is>
      </c>
      <c r="C43" s="17" t="inlineStr">
        <is>
          <t>Después</t>
        </is>
      </c>
      <c r="D43" s="16" t="inlineStr">
        <is>
          <t>H-17 · Tutorial inicial y ayuda</t>
        </is>
      </c>
      <c r="E43" s="17" t="inlineStr">
        <is>
          <t>MVP 3</t>
        </is>
      </c>
    </row>
    <row r="44" ht="15.75" customHeight="1" s="40">
      <c r="A44" s="12" t="inlineStr">
        <is>
          <t>ENS-041</t>
        </is>
      </c>
      <c r="B44" s="14" t="inlineStr">
        <is>
          <t>Aislamiento de información</t>
        </is>
      </c>
      <c r="C44" s="12" t="inlineStr">
        <is>
          <t>MVP</t>
        </is>
      </c>
      <c r="D44" s="14" t="inlineStr">
        <is>
          <t>H-02 · Espacio de negocio y aislamiento de datos</t>
        </is>
      </c>
      <c r="E44" s="12" t="inlineStr">
        <is>
          <t>MVP 2</t>
        </is>
      </c>
    </row>
    <row r="45" ht="15.75" customHeight="1" s="40">
      <c r="A45" s="17" t="inlineStr">
        <is>
          <t>ENS-042</t>
        </is>
      </c>
      <c r="B45" s="16" t="inlineStr">
        <is>
          <t>Roles por negocio</t>
        </is>
      </c>
      <c r="C45" s="17" t="inlineStr">
        <is>
          <t>Después</t>
        </is>
      </c>
      <c r="D45" s="16" t="inlineStr">
        <is>
          <t>H-19 · Equipos: espacios, roles e invitaciones</t>
        </is>
      </c>
      <c r="E45" s="17" t="inlineStr">
        <is>
          <t>MVP 4</t>
        </is>
      </c>
    </row>
    <row r="46" ht="15.75" customHeight="1" s="40">
      <c r="A46" s="12" t="inlineStr">
        <is>
          <t>ENS-043</t>
        </is>
      </c>
      <c r="B46" s="14" t="inlineStr">
        <is>
          <t>Invitar colaboradores</t>
        </is>
      </c>
      <c r="C46" s="12" t="inlineStr">
        <is>
          <t>Después</t>
        </is>
      </c>
      <c r="D46" s="14" t="inlineStr">
        <is>
          <t>H-19 · Equipos: espacios, roles e invitaciones</t>
        </is>
      </c>
      <c r="E46" s="12" t="inlineStr">
        <is>
          <t>MVP 4</t>
        </is>
      </c>
    </row>
    <row r="47" ht="15.75" customHeight="1" s="40">
      <c r="A47" s="17" t="inlineStr">
        <is>
          <t>ENS-044</t>
        </is>
      </c>
      <c r="B47" s="16" t="inlineStr">
        <is>
          <t>Registro de auditoría</t>
        </is>
      </c>
      <c r="C47" s="17" t="inlineStr">
        <is>
          <t>Futuro</t>
        </is>
      </c>
      <c r="D47" s="16" t="inlineStr">
        <is>
          <t>H-19 · Equipos: espacios, roles e invitaciones</t>
        </is>
      </c>
      <c r="E47" s="17" t="inlineStr">
        <is>
          <t>MVP 4</t>
        </is>
      </c>
    </row>
    <row r="48" ht="15.75" customHeight="1" s="40">
      <c r="A48" s="12" t="inlineStr">
        <is>
          <t>ENS-045</t>
        </is>
      </c>
      <c r="B48" s="14" t="inlineStr">
        <is>
          <t>Indicadores iniciales</t>
        </is>
      </c>
      <c r="C48" s="12" t="inlineStr">
        <is>
          <t>MVP</t>
        </is>
      </c>
      <c r="D48" s="14" t="inlineStr">
        <is>
          <t>H-16 · Panel de indicadores y gráficos básicos</t>
        </is>
      </c>
      <c r="E48" s="12" t="inlineStr">
        <is>
          <t>MVP 3</t>
        </is>
      </c>
    </row>
    <row r="49" ht="15.75" customHeight="1" s="40">
      <c r="A49" s="17" t="inlineStr">
        <is>
          <t>ENS-046</t>
        </is>
      </c>
      <c r="B49" s="16" t="inlineStr">
        <is>
          <t>Indicadores de inventario</t>
        </is>
      </c>
      <c r="C49" s="17" t="inlineStr">
        <is>
          <t>Después</t>
        </is>
      </c>
      <c r="D49" s="16" t="inlineStr">
        <is>
          <t>H-22 · Inventario, costos y reportes</t>
        </is>
      </c>
      <c r="E49" s="17" t="inlineStr">
        <is>
          <t>MVP 4</t>
        </is>
      </c>
    </row>
    <row r="50" ht="15.75" customHeight="1" s="40">
      <c r="A50" s="12" t="inlineStr">
        <is>
          <t>ENS-047</t>
        </is>
      </c>
      <c r="B50" s="14" t="inlineStr">
        <is>
          <t>Cálculo de costos de producto</t>
        </is>
      </c>
      <c r="C50" s="12" t="inlineStr">
        <is>
          <t>Después</t>
        </is>
      </c>
      <c r="D50" s="14" t="inlineStr">
        <is>
          <t>H-22 · Inventario, costos y reportes</t>
        </is>
      </c>
      <c r="E50" s="12" t="inlineStr">
        <is>
          <t>MVP 4</t>
        </is>
      </c>
    </row>
    <row r="51" ht="15.75" customHeight="1" s="40">
      <c r="A51" s="17" t="inlineStr">
        <is>
          <t>ENS-048</t>
        </is>
      </c>
      <c r="B51" s="16" t="inlineStr">
        <is>
          <t>Gráficos básicos</t>
        </is>
      </c>
      <c r="C51" s="17" t="inlineStr">
        <is>
          <t>Después</t>
        </is>
      </c>
      <c r="D51" s="16" t="inlineStr">
        <is>
          <t>H-16 · Panel de indicadores y gráficos básicos</t>
        </is>
      </c>
      <c r="E51" s="17" t="inlineStr">
        <is>
          <t>MVP 3</t>
        </is>
      </c>
    </row>
    <row r="52" ht="15.75" customHeight="1" s="40">
      <c r="A52" s="12" t="inlineStr">
        <is>
          <t>ENS-049</t>
        </is>
      </c>
      <c r="B52" s="14" t="inlineStr">
        <is>
          <t>Reportes personalizados</t>
        </is>
      </c>
      <c r="C52" s="12" t="inlineStr">
        <is>
          <t>Futuro</t>
        </is>
      </c>
      <c r="D52" s="14" t="inlineStr">
        <is>
          <t>H-22 · Inventario, costos y reportes</t>
        </is>
      </c>
      <c r="E52" s="12" t="inlineStr">
        <is>
          <t>MVP 4</t>
        </is>
      </c>
    </row>
    <row r="53" ht="15.75" customHeight="1" s="40">
      <c r="A53" s="17" t="inlineStr">
        <is>
          <t>ENS-050</t>
        </is>
      </c>
      <c r="B53" s="16" t="inlineStr">
        <is>
          <t>Publicar sistema para uso interno</t>
        </is>
      </c>
      <c r="C53" s="17" t="inlineStr">
        <is>
          <t>MVP</t>
        </is>
      </c>
      <c r="D53" s="16" t="inlineStr">
        <is>
          <t>H-07 · Modo construir / modo usar</t>
        </is>
      </c>
      <c r="E53" s="17" t="inlineStr">
        <is>
          <t>MVP 3</t>
        </is>
      </c>
    </row>
    <row r="54" ht="15.75" customHeight="1" s="40">
      <c r="A54" s="12" t="inlineStr">
        <is>
          <t>ENS-051</t>
        </is>
      </c>
      <c r="B54" s="14" t="inlineStr">
        <is>
          <t>Separar modo construir y modo usar</t>
        </is>
      </c>
      <c r="C54" s="12" t="inlineStr">
        <is>
          <t>MVP</t>
        </is>
      </c>
      <c r="D54" s="14" t="inlineStr">
        <is>
          <t>H-07 · Modo construir / modo usar</t>
        </is>
      </c>
      <c r="E54" s="12" t="inlineStr">
        <is>
          <t>MVP 3</t>
        </is>
      </c>
    </row>
    <row r="55" ht="15.75" customHeight="1" s="40">
      <c r="A55" s="17" t="inlineStr">
        <is>
          <t>ENS-052</t>
        </is>
      </c>
      <c r="B55" s="16" t="inlineStr">
        <is>
          <t>Borrador y versión publicada</t>
        </is>
      </c>
      <c r="C55" s="17" t="inlineStr">
        <is>
          <t>Después</t>
        </is>
      </c>
      <c r="D55" s="16" t="inlineStr">
        <is>
          <t>H-13 · Borrador y versión publicada</t>
        </is>
      </c>
      <c r="E55" s="17" t="inlineStr">
        <is>
          <t>MVP 3</t>
        </is>
      </c>
    </row>
    <row r="56" ht="15.75" customHeight="1" s="40">
      <c r="A56" s="12" t="inlineStr">
        <is>
          <t>ENS-053</t>
        </is>
      </c>
      <c r="B56" s="14" t="inlineStr">
        <is>
          <t>Enlace de acceso al sistema</t>
        </is>
      </c>
      <c r="C56" s="12" t="inlineStr">
        <is>
          <t>Después</t>
        </is>
      </c>
      <c r="D56" s="14" t="inlineStr">
        <is>
          <t>H-19 · Equipos: espacios, roles e invitaciones</t>
        </is>
      </c>
      <c r="E56" s="12" t="inlineStr">
        <is>
          <t>MVP 4</t>
        </is>
      </c>
    </row>
    <row r="57" ht="15.75" customHeight="1" s="40">
      <c r="A57" s="17" t="inlineStr">
        <is>
          <t>ENS-054</t>
        </is>
      </c>
      <c r="B57" s="16" t="inlineStr">
        <is>
          <t>Importación desde planilla</t>
        </is>
      </c>
      <c r="C57" s="17" t="inlineStr">
        <is>
          <t>Después</t>
        </is>
      </c>
      <c r="D57" s="16" t="inlineStr">
        <is>
          <t>H-15 · Importar y exportar datos (CSV / planilla)</t>
        </is>
      </c>
      <c r="E57" s="17" t="inlineStr">
        <is>
          <t>MVP 4</t>
        </is>
      </c>
    </row>
    <row r="58" ht="15.75" customHeight="1" s="40">
      <c r="A58" s="12" t="inlineStr">
        <is>
          <t>ENS-055</t>
        </is>
      </c>
      <c r="B58" s="14" t="inlineStr">
        <is>
          <t>Integración Mercado Libre</t>
        </is>
      </c>
      <c r="C58" s="12" t="inlineStr">
        <is>
          <t>Futuro</t>
        </is>
      </c>
      <c r="D58" s="14" t="inlineStr">
        <is>
          <t>H-26 · Integración con Mercado Libre</t>
        </is>
      </c>
      <c r="E58" s="12" t="inlineStr">
        <is>
          <t>MVP 4</t>
        </is>
      </c>
    </row>
    <row r="59" ht="15.75" customHeight="1" s="40">
      <c r="A59" s="17" t="inlineStr">
        <is>
          <t>ENS-056</t>
        </is>
      </c>
      <c r="B59" s="16" t="inlineStr">
        <is>
          <t>Conectores por API / webhooks</t>
        </is>
      </c>
      <c r="C59" s="17" t="inlineStr">
        <is>
          <t>Futuro</t>
        </is>
      </c>
      <c r="D59" s="16" t="inlineStr">
        <is>
          <t>H-25 · Automatizaciones: alertas, API y webhooks</t>
        </is>
      </c>
      <c r="E59" s="17" t="inlineStr">
        <is>
          <t>MVP 4</t>
        </is>
      </c>
    </row>
    <row r="60" ht="15.75" customHeight="1" s="40">
      <c r="A60" s="12" t="inlineStr">
        <is>
          <t>ENS-057</t>
        </is>
      </c>
      <c r="B60" s="14" t="inlineStr">
        <is>
          <t>Alertas automáticas</t>
        </is>
      </c>
      <c r="C60" s="12" t="inlineStr">
        <is>
          <t>Futuro</t>
        </is>
      </c>
      <c r="D60" s="14" t="inlineStr">
        <is>
          <t>H-25 · Automatizaciones: alertas, API y webhooks</t>
        </is>
      </c>
      <c r="E60" s="12" t="inlineStr">
        <is>
          <t>MVP 4</t>
        </is>
      </c>
    </row>
    <row r="61" ht="15.75" customHeight="1" s="40">
      <c r="A61" s="17" t="inlineStr">
        <is>
          <t>ENS-058</t>
        </is>
      </c>
      <c r="B61" s="16" t="inlineStr">
        <is>
          <t>Formularios compartibles</t>
        </is>
      </c>
      <c r="C61" s="17" t="inlineStr">
        <is>
          <t>Después</t>
        </is>
      </c>
      <c r="D61" s="16" t="inlineStr">
        <is>
          <t>H-24 · Formularios compartibles</t>
        </is>
      </c>
      <c r="E61" s="17" t="inlineStr">
        <is>
          <t>MVP 4</t>
        </is>
      </c>
    </row>
    <row r="62" ht="15.75" customHeight="1" s="40">
      <c r="A62" s="12" t="inlineStr">
        <is>
          <t>ENS-059</t>
        </is>
      </c>
      <c r="B62" s="14" t="inlineStr">
        <is>
          <t>Plan gratuito y premium</t>
        </is>
      </c>
      <c r="C62" s="12" t="inlineStr">
        <is>
          <t>Después</t>
        </is>
      </c>
      <c r="D62" s="14" t="inlineStr">
        <is>
          <t>H-20 · Planes, prueba premium y control por plan</t>
        </is>
      </c>
      <c r="E62" s="12" t="inlineStr">
        <is>
          <t>MVP 4</t>
        </is>
      </c>
    </row>
    <row r="63" ht="15.75" customHeight="1" s="40">
      <c r="A63" s="17" t="inlineStr">
        <is>
          <t>ENS-060</t>
        </is>
      </c>
      <c r="B63" s="16" t="inlineStr">
        <is>
          <t>Control de funciones por plan</t>
        </is>
      </c>
      <c r="C63" s="17" t="inlineStr">
        <is>
          <t>Después</t>
        </is>
      </c>
      <c r="D63" s="16" t="inlineStr">
        <is>
          <t>H-20 · Planes, prueba premium y control por plan</t>
        </is>
      </c>
      <c r="E63" s="17" t="inlineStr">
        <is>
          <t>MVP 4</t>
        </is>
      </c>
    </row>
    <row r="64" ht="15.75" customHeight="1" s="40">
      <c r="A64" s="12" t="inlineStr">
        <is>
          <t>ENS-061</t>
        </is>
      </c>
      <c r="B64" s="14" t="inlineStr">
        <is>
          <t>Prueba de siete días</t>
        </is>
      </c>
      <c r="C64" s="12" t="inlineStr">
        <is>
          <t>Futuro</t>
        </is>
      </c>
      <c r="D64" s="14" t="inlineStr">
        <is>
          <t>H-20 · Planes, prueba premium y control por plan</t>
        </is>
      </c>
      <c r="E64" s="12" t="inlineStr">
        <is>
          <t>MVP 4</t>
        </is>
      </c>
    </row>
    <row r="65" ht="15.75" customHeight="1" s="40">
      <c r="A65" s="17" t="inlineStr">
        <is>
          <t>ENS-062</t>
        </is>
      </c>
      <c r="B65" s="16" t="inlineStr">
        <is>
          <t>Marketplace de plantillas</t>
        </is>
      </c>
      <c r="C65" s="17" t="inlineStr">
        <is>
          <t>Futuro</t>
        </is>
      </c>
      <c r="D65" s="16" t="inlineStr">
        <is>
          <t>H-27 · Marketplace de plantillas</t>
        </is>
      </c>
      <c r="E65" s="17" t="inlineStr">
        <is>
          <t>MVP 4</t>
        </is>
      </c>
    </row>
    <row r="66" ht="15.75" customHeight="1" s="40">
      <c r="A66" s="12" t="inlineStr">
        <is>
          <t>ENS-063</t>
        </is>
      </c>
      <c r="B66" s="14" t="inlineStr">
        <is>
          <t>Gestión de organizaciones (admin)</t>
        </is>
      </c>
      <c r="C66" s="12" t="inlineStr">
        <is>
          <t>Después</t>
        </is>
      </c>
      <c r="D66" s="14" t="inlineStr">
        <is>
          <t>H-21 · Administración de organizaciones (backoffice)</t>
        </is>
      </c>
      <c r="E66" s="12" t="inlineStr">
        <is>
          <t>MVP 4</t>
        </is>
      </c>
    </row>
    <row r="67" ht="15.75" customHeight="1" s="40">
      <c r="A67" s="17" t="inlineStr">
        <is>
          <t>ENS-064</t>
        </is>
      </c>
      <c r="B67" s="16" t="inlineStr">
        <is>
          <t>Validación y manejo de errores API</t>
        </is>
      </c>
      <c r="C67" s="17" t="inlineStr">
        <is>
          <t>MVP</t>
        </is>
      </c>
      <c r="D67" s="16" t="inlineStr">
        <is>
          <t>H-05 · Formulario de carga generado automáticamente</t>
        </is>
      </c>
      <c r="E67" s="17" t="inlineStr">
        <is>
          <t>MVP 2</t>
        </is>
      </c>
    </row>
    <row r="68" ht="15.75" customHeight="1" s="40">
      <c r="A68" s="12" t="inlineStr">
        <is>
          <t>ENS-065</t>
        </is>
      </c>
      <c r="B68" s="14" t="inlineStr">
        <is>
          <t>Pruebas del flujo principal</t>
        </is>
      </c>
      <c r="C68" s="12" t="inlineStr">
        <is>
          <t>MVP</t>
        </is>
      </c>
      <c r="D68" s="14" t="inlineStr">
        <is>
          <t>H-09 · Despliegue y prueba del flujo principal</t>
        </is>
      </c>
      <c r="E68" s="12" t="inlineStr">
        <is>
          <t>MVP 2</t>
        </is>
      </c>
    </row>
    <row r="69" ht="15.75" customHeight="1" s="40">
      <c r="A69" s="17" t="inlineStr">
        <is>
          <t>ENS-066</t>
        </is>
      </c>
      <c r="B69" s="16" t="inlineStr">
        <is>
          <t>Configuración de entornos y despliegue</t>
        </is>
      </c>
      <c r="C69" s="17" t="inlineStr">
        <is>
          <t>MVP</t>
        </is>
      </c>
      <c r="D69" s="16" t="inlineStr">
        <is>
          <t>H-00 · Base técnica</t>
        </is>
      </c>
      <c r="E69" s="17" t="inlineStr">
        <is>
          <t>MVP 2</t>
        </is>
      </c>
    </row>
    <row r="70" ht="15.75" customHeight="1" s="40">
      <c r="A70" s="12" t="inlineStr">
        <is>
          <t>ENS-067</t>
        </is>
      </c>
      <c r="B70" s="14" t="inlineStr">
        <is>
          <t>Resguardo y restauración de datos</t>
        </is>
      </c>
      <c r="C70" s="12" t="inlineStr">
        <is>
          <t>MVP</t>
        </is>
      </c>
      <c r="D70" s="14" t="inlineStr">
        <is>
          <t>H-18 · Respaldos y monitoreo de errores</t>
        </is>
      </c>
      <c r="E70" s="12" t="inlineStr">
        <is>
          <t>MVP 3</t>
        </is>
      </c>
    </row>
    <row r="71" ht="15.75" customHeight="1" s="40">
      <c r="A71" s="17" t="inlineStr">
        <is>
          <t>ENS-068</t>
        </is>
      </c>
      <c r="B71" s="16" t="inlineStr">
        <is>
          <t>Registro de errores y monitoreo</t>
        </is>
      </c>
      <c r="C71" s="17" t="inlineStr">
        <is>
          <t>Después</t>
        </is>
      </c>
      <c r="D71" s="16" t="inlineStr">
        <is>
          <t>H-18 · Respaldos y monitoreo de errores</t>
        </is>
      </c>
      <c r="E71" s="17" t="inlineStr">
        <is>
          <t>MVP 3</t>
        </is>
      </c>
    </row>
    <row r="72" ht="15.75" customHeight="1" s="40">
      <c r="A72" s="12" t="inlineStr">
        <is>
          <t>NUEVO-01</t>
        </is>
      </c>
      <c r="B72" s="14" t="inlineStr">
        <is>
          <t>Subir fotos del cuaderno (cámara o galería)</t>
        </is>
      </c>
      <c r="C72" s="12" t="inlineStr">
        <is>
          <t>— (v1.1)</t>
        </is>
      </c>
      <c r="D72" s="14" t="inlineStr">
        <is>
          <t>H-28 · Subir fotos del cuaderno</t>
        </is>
      </c>
      <c r="E72" s="12" t="inlineStr">
        <is>
          <t>MVP 2</t>
        </is>
      </c>
    </row>
    <row r="73" ht="15.75" customHeight="1" s="40">
      <c r="A73" s="17" t="inlineStr">
        <is>
          <t>NUEVO-02</t>
        </is>
      </c>
      <c r="B73" s="16" t="inlineStr">
        <is>
          <t>Lectura con IA y propuesta de estructura</t>
        </is>
      </c>
      <c r="C73" s="17" t="inlineStr">
        <is>
          <t>— (v1.1)</t>
        </is>
      </c>
      <c r="D73" s="16" t="inlineStr">
        <is>
          <t>H-29 · Lectura del cuaderno con IA</t>
        </is>
      </c>
      <c r="E73" s="17" t="inlineStr">
        <is>
          <t>MVP 2</t>
        </is>
      </c>
    </row>
    <row r="74" ht="15.75" customHeight="1" s="40">
      <c r="A74" s="12" t="inlineStr">
        <is>
          <t>NUEVO-03</t>
        </is>
      </c>
      <c r="B74" s="14" t="inlineStr">
        <is>
          <t>Revisión y confirmación de lo leído</t>
        </is>
      </c>
      <c r="C74" s="12" t="inlineStr">
        <is>
          <t>— (v1.1)</t>
        </is>
      </c>
      <c r="D74" s="14" t="inlineStr">
        <is>
          <t>H-30 · Revisar y confirmar lo que leyó la IA</t>
        </is>
      </c>
      <c r="E74" s="12" t="inlineStr">
        <is>
          <t>MVP 2</t>
        </is>
      </c>
    </row>
    <row r="75" ht="15.75" customHeight="1" s="40">
      <c r="A75" s="17" t="inlineStr">
        <is>
          <t>NUEVO-04</t>
        </is>
      </c>
      <c r="B75" s="16" t="inlineStr">
        <is>
          <t>Ver la foto de origen de cada registro</t>
        </is>
      </c>
      <c r="C75" s="17" t="inlineStr">
        <is>
          <t>— (v1.1)</t>
        </is>
      </c>
      <c r="D75" s="16" t="inlineStr">
        <is>
          <t>H-30 · Revisar y confirmar lo que leyó la IA</t>
        </is>
      </c>
      <c r="E75" s="17" t="inlineStr">
        <is>
          <t>MVP 2</t>
        </is>
      </c>
    </row>
    <row r="76" ht="15.75" customHeight="1" s="40">
      <c r="A76" s="12" t="inlineStr">
        <is>
          <t>NUEVO-05</t>
        </is>
      </c>
      <c r="B76" s="14" t="inlineStr">
        <is>
          <t>Totales en la tabla de registros</t>
        </is>
      </c>
      <c r="C76" s="12" t="inlineStr">
        <is>
          <t>— (v1.1)</t>
        </is>
      </c>
      <c r="D76" s="14" t="inlineStr">
        <is>
          <t>H-06 · Tabla de registros con gestión completa</t>
        </is>
      </c>
      <c r="E76" s="12" t="inlineStr">
        <is>
          <t>MVP 2</t>
        </is>
      </c>
    </row>
    <row r="77" ht="15.75" customHeight="1" s="40">
      <c r="A77" s="17" t="inlineStr">
        <is>
          <t>NUEVO-06</t>
        </is>
      </c>
      <c r="B77" s="16" t="inlineStr">
        <is>
          <t>Prueba de usabilidad con personas mayores</t>
        </is>
      </c>
      <c r="C77" s="17" t="inlineStr">
        <is>
          <t>— (v1.1)</t>
        </is>
      </c>
      <c r="D77" s="16" t="inlineStr">
        <is>
          <t>H-08 · Interfaz accesible para personas mayores</t>
        </is>
      </c>
      <c r="E77" s="17" t="inlineStr">
        <is>
          <t>MVP 2</t>
        </is>
      </c>
    </row>
    <row r="78" ht="15.75" customHeight="1" s="40">
      <c r="A78" s="12" t="inlineStr">
        <is>
          <t>NUEVO-07</t>
        </is>
      </c>
      <c r="B78" s="14" t="inlineStr">
        <is>
          <t>Carga por WhatsApp o audio</t>
        </is>
      </c>
      <c r="C78" s="12" t="inlineStr">
        <is>
          <t>— (v1.1)</t>
        </is>
      </c>
      <c r="D78" s="14" t="inlineStr">
        <is>
          <t>H-31 · Cargar por WhatsApp o audio</t>
        </is>
      </c>
      <c r="E78" s="12" t="inlineStr">
        <is>
          <t>MVP 4</t>
        </is>
      </c>
    </row>
    <row r="79" ht="15.75" customHeight="1" s="40"/>
    <row r="80" ht="15.75" customHeight="1" s="40"/>
    <row r="81" ht="15.75" customHeight="1" s="40"/>
    <row r="82" ht="15.75" customHeight="1" s="40"/>
    <row r="83" ht="15.75" customHeight="1" s="40"/>
    <row r="84" ht="15.75" customHeight="1" s="40"/>
    <row r="85" ht="15.75" customHeight="1" s="40"/>
    <row r="86" ht="15.75" customHeight="1" s="40"/>
    <row r="87" ht="15.75" customHeight="1" s="40"/>
    <row r="88" ht="15.75" customHeight="1" s="40"/>
    <row r="89" ht="15.75" customHeight="1" s="40"/>
    <row r="90" ht="15.75" customHeight="1" s="40"/>
    <row r="91" ht="15.75" customHeight="1" s="40"/>
    <row r="92" ht="15.75" customHeight="1" s="40"/>
    <row r="93" ht="15.75" customHeight="1" s="40"/>
    <row r="94" ht="15.75" customHeight="1" s="40"/>
    <row r="95" ht="15.75" customHeight="1" s="40"/>
    <row r="96" ht="15.75" customHeight="1" s="40"/>
    <row r="97" ht="15.75" customHeight="1" s="40"/>
    <row r="98" ht="15.75" customHeight="1" s="40"/>
    <row r="99" ht="15.75" customHeight="1" s="40"/>
    <row r="100" ht="15.75" customHeight="1" s="40"/>
    <row r="101" ht="15.75" customHeight="1" s="40"/>
    <row r="102" ht="15.75" customHeight="1" s="40"/>
    <row r="103" ht="15.75" customHeight="1" s="40"/>
    <row r="104" ht="15.75" customHeight="1" s="40"/>
    <row r="105" ht="15.75" customHeight="1" s="40"/>
    <row r="106" ht="15.75" customHeight="1" s="40"/>
    <row r="107" ht="15.75" customHeight="1" s="40"/>
    <row r="108" ht="15.75" customHeight="1" s="40"/>
    <row r="109" ht="15.75" customHeight="1" s="40"/>
    <row r="110" ht="15.75" customHeight="1" s="40"/>
    <row r="111" ht="15.75" customHeight="1" s="40"/>
    <row r="112" ht="15.75" customHeight="1" s="40"/>
    <row r="113" ht="15.75" customHeight="1" s="40"/>
    <row r="114" ht="15.75" customHeight="1" s="40"/>
    <row r="115" ht="15.75" customHeight="1" s="40"/>
    <row r="116" ht="15.75" customHeight="1" s="40"/>
    <row r="117" ht="15.75" customHeight="1" s="40"/>
    <row r="118" ht="15.75" customHeight="1" s="40"/>
    <row r="119" ht="15.75" customHeight="1" s="40"/>
    <row r="120" ht="15.75" customHeight="1" s="40"/>
    <row r="121" ht="15.75" customHeight="1" s="40"/>
    <row r="122" ht="15.75" customHeight="1" s="40"/>
    <row r="123" ht="15.75" customHeight="1" s="40"/>
    <row r="124" ht="15.75" customHeight="1" s="40"/>
    <row r="125" ht="15.75" customHeight="1" s="40"/>
    <row r="126" ht="15.75" customHeight="1" s="40"/>
    <row r="127" ht="15.75" customHeight="1" s="40"/>
    <row r="128" ht="15.75" customHeight="1" s="40"/>
    <row r="129" ht="15.75" customHeight="1" s="40"/>
    <row r="130" ht="15.75" customHeight="1" s="40"/>
    <row r="131" ht="15.75" customHeight="1" s="40"/>
    <row r="132" ht="15.75" customHeight="1" s="40"/>
    <row r="133" ht="15.75" customHeight="1" s="40"/>
    <row r="134" ht="15.75" customHeight="1" s="40"/>
    <row r="135" ht="15.75" customHeight="1" s="40"/>
    <row r="136" ht="15.75" customHeight="1" s="40"/>
    <row r="137" ht="15.75" customHeight="1" s="40"/>
    <row r="138" ht="15.75" customHeight="1" s="40"/>
    <row r="139" ht="15.75" customHeight="1" s="40"/>
    <row r="140" ht="15.75" customHeight="1" s="40"/>
    <row r="141" ht="15.75" customHeight="1" s="40"/>
    <row r="142" ht="15.75" customHeight="1" s="40"/>
    <row r="143" ht="15.75" customHeight="1" s="40"/>
    <row r="144" ht="15.75" customHeight="1" s="40"/>
    <row r="145" ht="15.75" customHeight="1" s="40"/>
    <row r="146" ht="15.75" customHeight="1" s="40"/>
    <row r="147" ht="15.75" customHeight="1" s="40"/>
    <row r="148" ht="15.75" customHeight="1" s="40"/>
    <row r="149" ht="15.75" customHeight="1" s="40"/>
    <row r="150" ht="15.75" customHeight="1" s="40"/>
    <row r="151" ht="15.75" customHeight="1" s="40"/>
    <row r="152" ht="15.75" customHeight="1" s="40"/>
    <row r="153" ht="15.75" customHeight="1" s="40"/>
    <row r="154" ht="15.75" customHeight="1" s="40"/>
    <row r="155" ht="15.75" customHeight="1" s="40"/>
    <row r="156" ht="15.75" customHeight="1" s="40"/>
    <row r="157" ht="15.75" customHeight="1" s="40"/>
    <row r="158" ht="15.75" customHeight="1" s="40"/>
    <row r="159" ht="15.75" customHeight="1" s="40"/>
    <row r="160" ht="15.75" customHeight="1" s="40"/>
    <row r="161" ht="15.75" customHeight="1" s="40"/>
    <row r="162" ht="15.75" customHeight="1" s="40"/>
    <row r="163" ht="15.75" customHeight="1" s="40"/>
    <row r="164" ht="15.75" customHeight="1" s="40"/>
    <row r="165" ht="15.75" customHeight="1" s="40"/>
    <row r="166" ht="15.75" customHeight="1" s="40"/>
    <row r="167" ht="15.75" customHeight="1" s="40"/>
    <row r="168" ht="15.75" customHeight="1" s="40"/>
    <row r="169" ht="15.75" customHeight="1" s="40"/>
    <row r="170" ht="15.75" customHeight="1" s="40"/>
    <row r="171" ht="15.75" customHeight="1" s="40"/>
    <row r="172" ht="15.75" customHeight="1" s="40"/>
    <row r="173" ht="15.75" customHeight="1" s="40"/>
    <row r="174" ht="15.75" customHeight="1" s="40"/>
    <row r="175" ht="15.75" customHeight="1" s="40"/>
    <row r="176" ht="15.75" customHeight="1" s="40"/>
    <row r="177" ht="15.75" customHeight="1" s="40"/>
    <row r="178" ht="15.75" customHeight="1" s="40"/>
    <row r="179" ht="15.75" customHeight="1" s="40"/>
    <row r="180" ht="15.75" customHeight="1" s="40"/>
    <row r="181" ht="15.75" customHeight="1" s="40"/>
    <row r="182" ht="15.75" customHeight="1" s="40"/>
    <row r="183" ht="15.75" customHeight="1" s="40"/>
    <row r="184" ht="15.75" customHeight="1" s="40"/>
    <row r="185" ht="15.75" customHeight="1" s="40"/>
    <row r="186" ht="15.75" customHeight="1" s="40"/>
    <row r="187" ht="15.75" customHeight="1" s="40"/>
    <row r="188" ht="15.75" customHeight="1" s="40"/>
    <row r="189" ht="15.75" customHeight="1" s="40"/>
    <row r="190" ht="15.75" customHeight="1" s="40"/>
    <row r="191" ht="15.75" customHeight="1" s="40"/>
    <row r="192" ht="15.75" customHeight="1" s="40"/>
    <row r="193" ht="15.75" customHeight="1" s="40"/>
    <row r="194" ht="15.75" customHeight="1" s="40"/>
    <row r="195" ht="15.75" customHeight="1" s="40"/>
    <row r="196" ht="15.75" customHeight="1" s="40"/>
    <row r="197" ht="15.75" customHeight="1" s="40"/>
    <row r="198" ht="15.75" customHeight="1" s="40"/>
    <row r="199" ht="15.75" customHeight="1" s="40"/>
    <row r="200" ht="15.75" customHeight="1" s="40"/>
    <row r="201" ht="15.75" customHeight="1" s="40"/>
    <row r="202" ht="15.75" customHeight="1" s="40"/>
    <row r="203" ht="15.75" customHeight="1" s="40"/>
    <row r="204" ht="15.75" customHeight="1" s="40"/>
    <row r="205" ht="15.75" customHeight="1" s="40"/>
    <row r="206" ht="15.75" customHeight="1" s="40"/>
    <row r="207" ht="15.75" customHeight="1" s="40"/>
    <row r="208" ht="15.75" customHeight="1" s="40"/>
    <row r="209" ht="15.75" customHeight="1" s="40"/>
    <row r="210" ht="15.75" customHeight="1" s="40"/>
    <row r="211" ht="15.75" customHeight="1" s="40"/>
    <row r="212" ht="15.75" customHeight="1" s="40"/>
    <row r="213" ht="15.75" customHeight="1" s="40"/>
    <row r="214" ht="15.75" customHeight="1" s="40"/>
    <row r="215" ht="15.75" customHeight="1" s="40"/>
    <row r="216" ht="15.75" customHeight="1" s="40"/>
    <row r="217" ht="15.75" customHeight="1" s="40"/>
    <row r="218" ht="15.75" customHeight="1" s="40"/>
    <row r="219" ht="15.75" customHeight="1" s="40"/>
    <row r="220" ht="15.75" customHeight="1" s="40"/>
    <row r="221" ht="15.75" customHeight="1" s="40"/>
    <row r="222" ht="15.75" customHeight="1" s="40"/>
    <row r="223" ht="15.75" customHeight="1" s="40"/>
    <row r="224" ht="15.75" customHeight="1" s="40"/>
    <row r="225" ht="15.75" customHeight="1" s="40"/>
    <row r="226" ht="15.75" customHeight="1" s="40"/>
    <row r="227" ht="15.75" customHeight="1" s="40"/>
    <row r="228" ht="15.75" customHeight="1" s="40"/>
    <row r="229" ht="15.75" customHeight="1" s="40"/>
    <row r="230" ht="15.75" customHeight="1" s="40"/>
    <row r="231" ht="15.75" customHeight="1" s="40"/>
    <row r="232" ht="15.75" customHeight="1" s="40"/>
    <row r="233" ht="15.75" customHeight="1" s="40"/>
    <row r="234" ht="15.75" customHeight="1" s="40"/>
    <row r="235" ht="15.75" customHeight="1" s="40"/>
    <row r="236" ht="15.75" customHeight="1" s="40"/>
    <row r="237" ht="15.75" customHeight="1" s="40"/>
    <row r="238" ht="15.75" customHeight="1" s="40"/>
    <row r="239" ht="15.75" customHeight="1" s="40"/>
    <row r="240" ht="15.75" customHeight="1" s="40"/>
    <row r="241" ht="15.75" customHeight="1" s="40"/>
    <row r="242" ht="15.75" customHeight="1" s="40"/>
    <row r="243" ht="15.75" customHeight="1" s="40"/>
    <row r="244" ht="15.75" customHeight="1" s="40"/>
    <row r="245" ht="15.75" customHeight="1" s="40"/>
    <row r="246" ht="15.75" customHeight="1" s="40"/>
    <row r="247" ht="15.75" customHeight="1" s="40"/>
    <row r="248" ht="15.75" customHeight="1" s="40"/>
    <row r="249" ht="15.75" customHeight="1" s="40"/>
    <row r="250" ht="15.75" customHeight="1" s="40"/>
    <row r="251" ht="15.75" customHeight="1" s="40"/>
    <row r="252" ht="15.75" customHeight="1" s="40"/>
    <row r="253" ht="15.75" customHeight="1" s="40"/>
    <row r="254" ht="15.75" customHeight="1" s="40"/>
    <row r="255" ht="15.75" customHeight="1" s="40"/>
    <row r="256" ht="15.75" customHeight="1" s="40"/>
    <row r="257" ht="15.75" customHeight="1" s="40"/>
    <row r="258" ht="15.75" customHeight="1" s="40"/>
    <row r="259" ht="15.75" customHeight="1" s="40"/>
    <row r="260" ht="15.75" customHeight="1" s="40"/>
    <row r="261" ht="15.75" customHeight="1" s="40"/>
    <row r="262" ht="15.75" customHeight="1" s="40"/>
    <row r="263" ht="15.75" customHeight="1" s="40"/>
    <row r="264" ht="15.75" customHeight="1" s="40"/>
    <row r="265" ht="15.75" customHeight="1" s="40"/>
    <row r="266" ht="15.75" customHeight="1" s="40"/>
    <row r="267" ht="15.75" customHeight="1" s="40"/>
    <row r="268" ht="15.75" customHeight="1" s="40"/>
    <row r="269" ht="15.75" customHeight="1" s="40"/>
    <row r="270" ht="15.75" customHeight="1" s="40"/>
    <row r="271" ht="15.75" customHeight="1" s="40"/>
    <row r="272" ht="15.75" customHeight="1" s="40"/>
    <row r="273" ht="15.75" customHeight="1" s="40"/>
    <row r="274" ht="15.75" customHeight="1" s="40"/>
    <row r="275" ht="15.75" customHeight="1" s="40"/>
    <row r="276" ht="15.75" customHeight="1" s="40"/>
    <row r="277" ht="15.75" customHeight="1" s="40"/>
    <row r="278" ht="15.75" customHeight="1" s="40"/>
    <row r="279" ht="15.75" customHeight="1" s="40"/>
    <row r="280" ht="15.75" customHeight="1" s="40"/>
    <row r="281" ht="15.75" customHeight="1" s="40"/>
    <row r="282" ht="15.75" customHeight="1" s="40"/>
    <row r="283" ht="15.75" customHeight="1" s="40"/>
    <row r="284" ht="15.75" customHeight="1" s="40"/>
    <row r="285" ht="15.75" customHeight="1" s="40"/>
    <row r="286" ht="15.75" customHeight="1" s="40"/>
    <row r="287" ht="15.75" customHeight="1" s="40"/>
    <row r="288" ht="15.75" customHeight="1" s="40"/>
    <row r="289" ht="15.75" customHeight="1" s="40"/>
    <row r="290" ht="15.75" customHeight="1" s="40"/>
    <row r="291" ht="15.75" customHeight="1" s="40"/>
    <row r="292" ht="15.75" customHeight="1" s="40"/>
    <row r="293" ht="15.75" customHeight="1" s="40"/>
    <row r="294" ht="15.75" customHeight="1" s="40"/>
    <row r="295" ht="15.75" customHeight="1" s="40"/>
    <row r="296" ht="15.75" customHeight="1" s="40"/>
    <row r="297" ht="15.75" customHeight="1" s="40"/>
    <row r="298" ht="15.75" customHeight="1" s="40"/>
    <row r="299" ht="15.75" customHeight="1" s="40"/>
    <row r="300" ht="15.75" customHeight="1" s="40"/>
    <row r="301" ht="15.75" customHeight="1" s="40"/>
    <row r="302" ht="15.75" customHeight="1" s="40"/>
    <row r="303" ht="15.75" customHeight="1" s="40"/>
    <row r="304" ht="15.75" customHeight="1" s="40"/>
    <row r="305" ht="15.75" customHeight="1" s="40"/>
    <row r="306" ht="15.75" customHeight="1" s="40"/>
    <row r="307" ht="15.75" customHeight="1" s="40"/>
    <row r="308" ht="15.75" customHeight="1" s="40"/>
    <row r="309" ht="15.75" customHeight="1" s="40"/>
    <row r="310" ht="15.75" customHeight="1" s="40"/>
    <row r="311" ht="15.75" customHeight="1" s="40"/>
    <row r="312" ht="15.75" customHeight="1" s="40"/>
    <row r="313" ht="15.75" customHeight="1" s="40"/>
    <row r="314" ht="15.75" customHeight="1" s="40"/>
    <row r="315" ht="15.75" customHeight="1" s="40"/>
    <row r="316" ht="15.75" customHeight="1" s="40"/>
    <row r="317" ht="15.75" customHeight="1" s="40"/>
    <row r="318" ht="15.75" customHeight="1" s="40"/>
    <row r="319" ht="15.75" customHeight="1" s="40"/>
    <row r="320" ht="15.75" customHeight="1" s="40"/>
    <row r="321" ht="15.75" customHeight="1" s="40"/>
    <row r="322" ht="15.75" customHeight="1" s="40"/>
    <row r="323" ht="15.75" customHeight="1" s="40"/>
    <row r="324" ht="15.75" customHeight="1" s="40"/>
    <row r="325" ht="15.75" customHeight="1" s="40"/>
    <row r="326" ht="15.75" customHeight="1" s="40"/>
    <row r="327" ht="15.75" customHeight="1" s="40"/>
    <row r="328" ht="15.75" customHeight="1" s="40"/>
    <row r="329" ht="15.75" customHeight="1" s="40"/>
    <row r="330" ht="15.75" customHeight="1" s="40"/>
    <row r="331" ht="15.75" customHeight="1" s="40"/>
    <row r="332" ht="15.75" customHeight="1" s="40"/>
    <row r="333" ht="15.75" customHeight="1" s="40"/>
    <row r="334" ht="15.75" customHeight="1" s="40"/>
    <row r="335" ht="15.75" customHeight="1" s="40"/>
    <row r="336" ht="15.75" customHeight="1" s="40"/>
    <row r="337" ht="15.75" customHeight="1" s="40"/>
    <row r="338" ht="15.75" customHeight="1" s="40"/>
    <row r="339" ht="15.75" customHeight="1" s="40"/>
    <row r="340" ht="15.75" customHeight="1" s="40"/>
    <row r="341" ht="15.75" customHeight="1" s="40"/>
    <row r="342" ht="15.75" customHeight="1" s="40"/>
    <row r="343" ht="15.75" customHeight="1" s="40"/>
    <row r="344" ht="15.75" customHeight="1" s="40"/>
    <row r="345" ht="15.75" customHeight="1" s="40"/>
    <row r="346" ht="15.75" customHeight="1" s="40"/>
    <row r="347" ht="15.75" customHeight="1" s="40"/>
    <row r="348" ht="15.75" customHeight="1" s="40"/>
    <row r="349" ht="15.75" customHeight="1" s="40"/>
    <row r="350" ht="15.75" customHeight="1" s="40"/>
    <row r="351" ht="15.75" customHeight="1" s="40"/>
    <row r="352" ht="15.75" customHeight="1" s="40"/>
    <row r="353" ht="15.75" customHeight="1" s="40"/>
    <row r="354" ht="15.75" customHeight="1" s="40"/>
    <row r="355" ht="15.75" customHeight="1" s="40"/>
    <row r="356" ht="15.75" customHeight="1" s="40"/>
    <row r="357" ht="15.75" customHeight="1" s="40"/>
    <row r="358" ht="15.75" customHeight="1" s="40"/>
    <row r="359" ht="15.75" customHeight="1" s="40"/>
    <row r="360" ht="15.75" customHeight="1" s="40"/>
    <row r="361" ht="15.75" customHeight="1" s="40"/>
    <row r="362" ht="15.75" customHeight="1" s="40"/>
    <row r="363" ht="15.75" customHeight="1" s="40"/>
    <row r="364" ht="15.75" customHeight="1" s="40"/>
    <row r="365" ht="15.75" customHeight="1" s="40"/>
    <row r="366" ht="15.75" customHeight="1" s="40"/>
    <row r="367" ht="15.75" customHeight="1" s="40"/>
    <row r="368" ht="15.75" customHeight="1" s="40"/>
    <row r="369" ht="15.75" customHeight="1" s="40"/>
    <row r="370" ht="15.75" customHeight="1" s="40"/>
    <row r="371" ht="15.75" customHeight="1" s="40"/>
    <row r="372" ht="15.75" customHeight="1" s="40"/>
    <row r="373" ht="15.75" customHeight="1" s="40"/>
    <row r="374" ht="15.75" customHeight="1" s="40"/>
    <row r="375" ht="15.75" customHeight="1" s="40"/>
    <row r="376" ht="15.75" customHeight="1" s="40"/>
    <row r="377" ht="15.75" customHeight="1" s="40"/>
    <row r="378" ht="15.75" customHeight="1" s="40"/>
    <row r="379" ht="15.75" customHeight="1" s="40"/>
    <row r="380" ht="15.75" customHeight="1" s="40"/>
    <row r="381" ht="15.75" customHeight="1" s="40"/>
    <row r="382" ht="15.75" customHeight="1" s="40"/>
    <row r="383" ht="15.75" customHeight="1" s="40"/>
    <row r="384" ht="15.75" customHeight="1" s="40"/>
    <row r="385" ht="15.75" customHeight="1" s="40"/>
    <row r="386" ht="15.75" customHeight="1" s="40"/>
    <row r="387" ht="15.75" customHeight="1" s="40"/>
    <row r="388" ht="15.75" customHeight="1" s="40"/>
    <row r="389" ht="15.75" customHeight="1" s="40"/>
    <row r="390" ht="15.75" customHeight="1" s="40"/>
    <row r="391" ht="15.75" customHeight="1" s="40"/>
    <row r="392" ht="15.75" customHeight="1" s="40"/>
    <row r="393" ht="15.75" customHeight="1" s="40"/>
    <row r="394" ht="15.75" customHeight="1" s="40"/>
    <row r="395" ht="15.75" customHeight="1" s="40"/>
    <row r="396" ht="15.75" customHeight="1" s="40"/>
    <row r="397" ht="15.75" customHeight="1" s="40"/>
    <row r="398" ht="15.75" customHeight="1" s="40"/>
    <row r="399" ht="15.75" customHeight="1" s="40"/>
    <row r="400" ht="15.75" customHeight="1" s="40"/>
    <row r="401" ht="15.75" customHeight="1" s="40"/>
    <row r="402" ht="15.75" customHeight="1" s="40"/>
    <row r="403" ht="15.75" customHeight="1" s="40"/>
    <row r="404" ht="15.75" customHeight="1" s="40"/>
    <row r="405" ht="15.75" customHeight="1" s="40"/>
    <row r="406" ht="15.75" customHeight="1" s="40"/>
    <row r="407" ht="15.75" customHeight="1" s="40"/>
    <row r="408" ht="15.75" customHeight="1" s="40"/>
    <row r="409" ht="15.75" customHeight="1" s="40"/>
    <row r="410" ht="15.75" customHeight="1" s="40"/>
    <row r="411" ht="15.75" customHeight="1" s="40"/>
    <row r="412" ht="15.75" customHeight="1" s="40"/>
    <row r="413" ht="15.75" customHeight="1" s="40"/>
    <row r="414" ht="15.75" customHeight="1" s="40"/>
    <row r="415" ht="15.75" customHeight="1" s="40"/>
    <row r="416" ht="15.75" customHeight="1" s="40"/>
    <row r="417" ht="15.75" customHeight="1" s="40"/>
    <row r="418" ht="15.75" customHeight="1" s="40"/>
    <row r="419" ht="15.75" customHeight="1" s="40"/>
    <row r="420" ht="15.75" customHeight="1" s="40"/>
    <row r="421" ht="15.75" customHeight="1" s="40"/>
    <row r="422" ht="15.75" customHeight="1" s="40"/>
    <row r="423" ht="15.75" customHeight="1" s="40"/>
    <row r="424" ht="15.75" customHeight="1" s="40"/>
    <row r="425" ht="15.75" customHeight="1" s="40"/>
    <row r="426" ht="15.75" customHeight="1" s="40"/>
    <row r="427" ht="15.75" customHeight="1" s="40"/>
    <row r="428" ht="15.75" customHeight="1" s="40"/>
    <row r="429" ht="15.75" customHeight="1" s="40"/>
    <row r="430" ht="15.75" customHeight="1" s="40"/>
    <row r="431" ht="15.75" customHeight="1" s="40"/>
    <row r="432" ht="15.75" customHeight="1" s="40"/>
    <row r="433" ht="15.75" customHeight="1" s="40"/>
    <row r="434" ht="15.75" customHeight="1" s="40"/>
    <row r="435" ht="15.75" customHeight="1" s="40"/>
    <row r="436" ht="15.75" customHeight="1" s="40"/>
    <row r="437" ht="15.75" customHeight="1" s="40"/>
    <row r="438" ht="15.75" customHeight="1" s="40"/>
    <row r="439" ht="15.75" customHeight="1" s="40"/>
    <row r="440" ht="15.75" customHeight="1" s="40"/>
    <row r="441" ht="15.75" customHeight="1" s="40"/>
    <row r="442" ht="15.75" customHeight="1" s="40"/>
    <row r="443" ht="15.75" customHeight="1" s="40"/>
    <row r="444" ht="15.75" customHeight="1" s="40"/>
    <row r="445" ht="15.75" customHeight="1" s="40"/>
    <row r="446" ht="15.75" customHeight="1" s="40"/>
    <row r="447" ht="15.75" customHeight="1" s="40"/>
    <row r="448" ht="15.75" customHeight="1" s="40"/>
    <row r="449" ht="15.75" customHeight="1" s="40"/>
    <row r="450" ht="15.75" customHeight="1" s="40"/>
    <row r="451" ht="15.75" customHeight="1" s="40"/>
    <row r="452" ht="15.75" customHeight="1" s="40"/>
    <row r="453" ht="15.75" customHeight="1" s="40"/>
    <row r="454" ht="15.75" customHeight="1" s="40"/>
    <row r="455" ht="15.75" customHeight="1" s="40"/>
    <row r="456" ht="15.75" customHeight="1" s="40"/>
    <row r="457" ht="15.75" customHeight="1" s="40"/>
    <row r="458" ht="15.75" customHeight="1" s="40"/>
    <row r="459" ht="15.75" customHeight="1" s="40"/>
    <row r="460" ht="15.75" customHeight="1" s="40"/>
    <row r="461" ht="15.75" customHeight="1" s="40"/>
    <row r="462" ht="15.75" customHeight="1" s="40"/>
    <row r="463" ht="15.75" customHeight="1" s="40"/>
    <row r="464" ht="15.75" customHeight="1" s="40"/>
    <row r="465" ht="15.75" customHeight="1" s="40"/>
    <row r="466" ht="15.75" customHeight="1" s="40"/>
    <row r="467" ht="15.75" customHeight="1" s="40"/>
    <row r="468" ht="15.75" customHeight="1" s="40"/>
    <row r="469" ht="15.75" customHeight="1" s="40"/>
    <row r="470" ht="15.75" customHeight="1" s="40"/>
    <row r="471" ht="15.75" customHeight="1" s="40"/>
    <row r="472" ht="15.75" customHeight="1" s="40"/>
    <row r="473" ht="15.75" customHeight="1" s="40"/>
    <row r="474" ht="15.75" customHeight="1" s="40"/>
    <row r="475" ht="15.75" customHeight="1" s="40"/>
    <row r="476" ht="15.75" customHeight="1" s="40"/>
    <row r="477" ht="15.75" customHeight="1" s="40"/>
    <row r="478" ht="15.75" customHeight="1" s="40"/>
    <row r="479" ht="15.75" customHeight="1" s="40"/>
    <row r="480" ht="15.75" customHeight="1" s="40"/>
    <row r="481" ht="15.75" customHeight="1" s="40"/>
    <row r="482" ht="15.75" customHeight="1" s="40"/>
    <row r="483" ht="15.75" customHeight="1" s="40"/>
    <row r="484" ht="15.75" customHeight="1" s="40"/>
    <row r="485" ht="15.75" customHeight="1" s="40"/>
    <row r="486" ht="15.75" customHeight="1" s="40"/>
    <row r="487" ht="15.75" customHeight="1" s="40"/>
    <row r="488" ht="15.75" customHeight="1" s="40"/>
    <row r="489" ht="15.75" customHeight="1" s="40"/>
    <row r="490" ht="15.75" customHeight="1" s="40"/>
    <row r="491" ht="15.75" customHeight="1" s="40"/>
    <row r="492" ht="15.75" customHeight="1" s="40"/>
    <row r="493" ht="15.75" customHeight="1" s="40"/>
    <row r="494" ht="15.75" customHeight="1" s="40"/>
    <row r="495" ht="15.75" customHeight="1" s="40"/>
    <row r="496" ht="15.75" customHeight="1" s="40"/>
    <row r="497" ht="15.75" customHeight="1" s="40"/>
    <row r="498" ht="15.75" customHeight="1" s="40"/>
    <row r="499" ht="15.75" customHeight="1" s="40"/>
    <row r="500" ht="15.75" customHeight="1" s="40"/>
    <row r="501" ht="15.75" customHeight="1" s="40"/>
    <row r="502" ht="15.75" customHeight="1" s="40"/>
    <row r="503" ht="15.75" customHeight="1" s="40"/>
    <row r="504" ht="15.75" customHeight="1" s="40"/>
    <row r="505" ht="15.75" customHeight="1" s="40"/>
    <row r="506" ht="15.75" customHeight="1" s="40"/>
    <row r="507" ht="15.75" customHeight="1" s="40"/>
    <row r="508" ht="15.75" customHeight="1" s="40"/>
    <row r="509" ht="15.75" customHeight="1" s="40"/>
    <row r="510" ht="15.75" customHeight="1" s="40"/>
    <row r="511" ht="15.75" customHeight="1" s="40"/>
    <row r="512" ht="15.75" customHeight="1" s="40"/>
    <row r="513" ht="15.75" customHeight="1" s="40"/>
    <row r="514" ht="15.75" customHeight="1" s="40"/>
    <row r="515" ht="15.75" customHeight="1" s="40"/>
    <row r="516" ht="15.75" customHeight="1" s="40"/>
    <row r="517" ht="15.75" customHeight="1" s="40"/>
    <row r="518" ht="15.75" customHeight="1" s="40"/>
    <row r="519" ht="15.75" customHeight="1" s="40"/>
    <row r="520" ht="15.75" customHeight="1" s="40"/>
    <row r="521" ht="15.75" customHeight="1" s="40"/>
    <row r="522" ht="15.75" customHeight="1" s="40"/>
    <row r="523" ht="15.75" customHeight="1" s="40"/>
    <row r="524" ht="15.75" customHeight="1" s="40"/>
    <row r="525" ht="15.75" customHeight="1" s="40"/>
    <row r="526" ht="15.75" customHeight="1" s="40"/>
    <row r="527" ht="15.75" customHeight="1" s="40"/>
    <row r="528" ht="15.75" customHeight="1" s="40"/>
    <row r="529" ht="15.75" customHeight="1" s="40"/>
    <row r="530" ht="15.75" customHeight="1" s="40"/>
    <row r="531" ht="15.75" customHeight="1" s="40"/>
    <row r="532" ht="15.75" customHeight="1" s="40"/>
    <row r="533" ht="15.75" customHeight="1" s="40"/>
    <row r="534" ht="15.75" customHeight="1" s="40"/>
    <row r="535" ht="15.75" customHeight="1" s="40"/>
    <row r="536" ht="15.75" customHeight="1" s="40"/>
    <row r="537" ht="15.75" customHeight="1" s="40"/>
    <row r="538" ht="15.75" customHeight="1" s="40"/>
    <row r="539" ht="15.75" customHeight="1" s="40"/>
    <row r="540" ht="15.75" customHeight="1" s="40"/>
    <row r="541" ht="15.75" customHeight="1" s="40"/>
    <row r="542" ht="15.75" customHeight="1" s="40"/>
    <row r="543" ht="15.75" customHeight="1" s="40"/>
    <row r="544" ht="15.75" customHeight="1" s="40"/>
    <row r="545" ht="15.75" customHeight="1" s="40"/>
    <row r="546" ht="15.75" customHeight="1" s="40"/>
    <row r="547" ht="15.75" customHeight="1" s="40"/>
    <row r="548" ht="15.75" customHeight="1" s="40"/>
    <row r="549" ht="15.75" customHeight="1" s="40"/>
    <row r="550" ht="15.75" customHeight="1" s="40"/>
    <row r="551" ht="15.75" customHeight="1" s="40"/>
    <row r="552" ht="15.75" customHeight="1" s="40"/>
    <row r="553" ht="15.75" customHeight="1" s="40"/>
    <row r="554" ht="15.75" customHeight="1" s="40"/>
    <row r="555" ht="15.75" customHeight="1" s="40"/>
    <row r="556" ht="15.75" customHeight="1" s="40"/>
    <row r="557" ht="15.75" customHeight="1" s="40"/>
    <row r="558" ht="15.75" customHeight="1" s="40"/>
    <row r="559" ht="15.75" customHeight="1" s="40"/>
    <row r="560" ht="15.75" customHeight="1" s="40"/>
    <row r="561" ht="15.75" customHeight="1" s="40"/>
    <row r="562" ht="15.75" customHeight="1" s="40"/>
    <row r="563" ht="15.75" customHeight="1" s="40"/>
    <row r="564" ht="15.75" customHeight="1" s="40"/>
    <row r="565" ht="15.75" customHeight="1" s="40"/>
    <row r="566" ht="15.75" customHeight="1" s="40"/>
    <row r="567" ht="15.75" customHeight="1" s="40"/>
    <row r="568" ht="15.75" customHeight="1" s="40"/>
    <row r="569" ht="15.75" customHeight="1" s="40"/>
    <row r="570" ht="15.75" customHeight="1" s="40"/>
    <row r="571" ht="15.75" customHeight="1" s="40"/>
    <row r="572" ht="15.75" customHeight="1" s="40"/>
    <row r="573" ht="15.75" customHeight="1" s="40"/>
    <row r="574" ht="15.75" customHeight="1" s="40"/>
    <row r="575" ht="15.75" customHeight="1" s="40"/>
    <row r="576" ht="15.75" customHeight="1" s="40"/>
    <row r="577" ht="15.75" customHeight="1" s="40"/>
    <row r="578" ht="15.75" customHeight="1" s="40"/>
    <row r="579" ht="15.75" customHeight="1" s="40"/>
    <row r="580" ht="15.75" customHeight="1" s="40"/>
    <row r="581" ht="15.75" customHeight="1" s="40"/>
    <row r="582" ht="15.75" customHeight="1" s="40"/>
    <row r="583" ht="15.75" customHeight="1" s="40"/>
    <row r="584" ht="15.75" customHeight="1" s="40"/>
    <row r="585" ht="15.75" customHeight="1" s="40"/>
    <row r="586" ht="15.75" customHeight="1" s="40"/>
    <row r="587" ht="15.75" customHeight="1" s="40"/>
    <row r="588" ht="15.75" customHeight="1" s="40"/>
    <row r="589" ht="15.75" customHeight="1" s="40"/>
    <row r="590" ht="15.75" customHeight="1" s="40"/>
    <row r="591" ht="15.75" customHeight="1" s="40"/>
    <row r="592" ht="15.75" customHeight="1" s="40"/>
    <row r="593" ht="15.75" customHeight="1" s="40"/>
    <row r="594" ht="15.75" customHeight="1" s="40"/>
    <row r="595" ht="15.75" customHeight="1" s="40"/>
    <row r="596" ht="15.75" customHeight="1" s="40"/>
    <row r="597" ht="15.75" customHeight="1" s="40"/>
    <row r="598" ht="15.75" customHeight="1" s="40"/>
    <row r="599" ht="15.75" customHeight="1" s="40"/>
    <row r="600" ht="15.75" customHeight="1" s="40"/>
    <row r="601" ht="15.75" customHeight="1" s="40"/>
    <row r="602" ht="15.75" customHeight="1" s="40"/>
    <row r="603" ht="15.75" customHeight="1" s="40"/>
    <row r="604" ht="15.75" customHeight="1" s="40"/>
    <row r="605" ht="15.75" customHeight="1" s="40"/>
    <row r="606" ht="15.75" customHeight="1" s="40"/>
    <row r="607" ht="15.75" customHeight="1" s="40"/>
    <row r="608" ht="15.75" customHeight="1" s="40"/>
    <row r="609" ht="15.75" customHeight="1" s="40"/>
    <row r="610" ht="15.75" customHeight="1" s="40"/>
    <row r="611" ht="15.75" customHeight="1" s="40"/>
    <row r="612" ht="15.75" customHeight="1" s="40"/>
    <row r="613" ht="15.75" customHeight="1" s="40"/>
    <row r="614" ht="15.75" customHeight="1" s="40"/>
    <row r="615" ht="15.75" customHeight="1" s="40"/>
    <row r="616" ht="15.75" customHeight="1" s="40"/>
    <row r="617" ht="15.75" customHeight="1" s="40"/>
    <row r="618" ht="15.75" customHeight="1" s="40"/>
    <row r="619" ht="15.75" customHeight="1" s="40"/>
    <row r="620" ht="15.75" customHeight="1" s="40"/>
    <row r="621" ht="15.75" customHeight="1" s="40"/>
    <row r="622" ht="15.75" customHeight="1" s="40"/>
    <row r="623" ht="15.75" customHeight="1" s="40"/>
    <row r="624" ht="15.75" customHeight="1" s="40"/>
    <row r="625" ht="15.75" customHeight="1" s="40"/>
    <row r="626" ht="15.75" customHeight="1" s="40"/>
    <row r="627" ht="15.75" customHeight="1" s="40"/>
    <row r="628" ht="15.75" customHeight="1" s="40"/>
    <row r="629" ht="15.75" customHeight="1" s="40"/>
    <row r="630" ht="15.75" customHeight="1" s="40"/>
    <row r="631" ht="15.75" customHeight="1" s="40"/>
    <row r="632" ht="15.75" customHeight="1" s="40"/>
    <row r="633" ht="15.75" customHeight="1" s="40"/>
    <row r="634" ht="15.75" customHeight="1" s="40"/>
    <row r="635" ht="15.75" customHeight="1" s="40"/>
    <row r="636" ht="15.75" customHeight="1" s="40"/>
    <row r="637" ht="15.75" customHeight="1" s="40"/>
    <row r="638" ht="15.75" customHeight="1" s="40"/>
    <row r="639" ht="15.75" customHeight="1" s="40"/>
    <row r="640" ht="15.75" customHeight="1" s="40"/>
    <row r="641" ht="15.75" customHeight="1" s="40"/>
    <row r="642" ht="15.75" customHeight="1" s="40"/>
    <row r="643" ht="15.75" customHeight="1" s="40"/>
    <row r="644" ht="15.75" customHeight="1" s="40"/>
    <row r="645" ht="15.75" customHeight="1" s="40"/>
    <row r="646" ht="15.75" customHeight="1" s="40"/>
    <row r="647" ht="15.75" customHeight="1" s="40"/>
    <row r="648" ht="15.75" customHeight="1" s="40"/>
    <row r="649" ht="15.75" customHeight="1" s="40"/>
    <row r="650" ht="15.75" customHeight="1" s="40"/>
    <row r="651" ht="15.75" customHeight="1" s="40"/>
    <row r="652" ht="15.75" customHeight="1" s="40"/>
    <row r="653" ht="15.75" customHeight="1" s="40"/>
    <row r="654" ht="15.75" customHeight="1" s="40"/>
    <row r="655" ht="15.75" customHeight="1" s="40"/>
    <row r="656" ht="15.75" customHeight="1" s="40"/>
    <row r="657" ht="15.75" customHeight="1" s="40"/>
    <row r="658" ht="15.75" customHeight="1" s="40"/>
    <row r="659" ht="15.75" customHeight="1" s="40"/>
    <row r="660" ht="15.75" customHeight="1" s="40"/>
    <row r="661" ht="15.75" customHeight="1" s="40"/>
    <row r="662" ht="15.75" customHeight="1" s="40"/>
    <row r="663" ht="15.75" customHeight="1" s="40"/>
    <row r="664" ht="15.75" customHeight="1" s="40"/>
    <row r="665" ht="15.75" customHeight="1" s="40"/>
    <row r="666" ht="15.75" customHeight="1" s="40"/>
    <row r="667" ht="15.75" customHeight="1" s="40"/>
    <row r="668" ht="15.75" customHeight="1" s="40"/>
    <row r="669" ht="15.75" customHeight="1" s="40"/>
    <row r="670" ht="15.75" customHeight="1" s="40"/>
    <row r="671" ht="15.75" customHeight="1" s="40"/>
    <row r="672" ht="15.75" customHeight="1" s="40"/>
    <row r="673" ht="15.75" customHeight="1" s="40"/>
    <row r="674" ht="15.75" customHeight="1" s="40"/>
    <row r="675" ht="15.75" customHeight="1" s="40"/>
    <row r="676" ht="15.75" customHeight="1" s="40"/>
    <row r="677" ht="15.75" customHeight="1" s="40"/>
    <row r="678" ht="15.75" customHeight="1" s="40"/>
    <row r="679" ht="15.75" customHeight="1" s="40"/>
    <row r="680" ht="15.75" customHeight="1" s="40"/>
    <row r="681" ht="15.75" customHeight="1" s="40"/>
    <row r="682" ht="15.75" customHeight="1" s="40"/>
    <row r="683" ht="15.75" customHeight="1" s="40"/>
    <row r="684" ht="15.75" customHeight="1" s="40"/>
    <row r="685" ht="15.75" customHeight="1" s="40"/>
    <row r="686" ht="15.75" customHeight="1" s="40"/>
    <row r="687" ht="15.75" customHeight="1" s="40"/>
    <row r="688" ht="15.75" customHeight="1" s="40"/>
    <row r="689" ht="15.75" customHeight="1" s="40"/>
    <row r="690" ht="15.75" customHeight="1" s="40"/>
    <row r="691" ht="15.75" customHeight="1" s="40"/>
    <row r="692" ht="15.75" customHeight="1" s="40"/>
    <row r="693" ht="15.75" customHeight="1" s="40"/>
    <row r="694" ht="15.75" customHeight="1" s="40"/>
    <row r="695" ht="15.75" customHeight="1" s="40"/>
    <row r="696" ht="15.75" customHeight="1" s="40"/>
    <row r="697" ht="15.75" customHeight="1" s="40"/>
    <row r="698" ht="15.75" customHeight="1" s="40"/>
    <row r="699" ht="15.75" customHeight="1" s="40"/>
    <row r="700" ht="15.75" customHeight="1" s="40"/>
    <row r="701" ht="15.75" customHeight="1" s="40"/>
    <row r="702" ht="15.75" customHeight="1" s="40"/>
    <row r="703" ht="15.75" customHeight="1" s="40"/>
    <row r="704" ht="15.75" customHeight="1" s="40"/>
    <row r="705" ht="15.75" customHeight="1" s="40"/>
    <row r="706" ht="15.75" customHeight="1" s="40"/>
    <row r="707" ht="15.75" customHeight="1" s="40"/>
    <row r="708" ht="15.75" customHeight="1" s="40"/>
    <row r="709" ht="15.75" customHeight="1" s="40"/>
    <row r="710" ht="15.75" customHeight="1" s="40"/>
    <row r="711" ht="15.75" customHeight="1" s="40"/>
    <row r="712" ht="15.75" customHeight="1" s="40"/>
    <row r="713" ht="15.75" customHeight="1" s="40"/>
    <row r="714" ht="15.75" customHeight="1" s="40"/>
    <row r="715" ht="15.75" customHeight="1" s="40"/>
    <row r="716" ht="15.75" customHeight="1" s="40"/>
    <row r="717" ht="15.75" customHeight="1" s="40"/>
    <row r="718" ht="15.75" customHeight="1" s="40"/>
    <row r="719" ht="15.75" customHeight="1" s="40"/>
    <row r="720" ht="15.75" customHeight="1" s="40"/>
    <row r="721" ht="15.75" customHeight="1" s="40"/>
    <row r="722" ht="15.75" customHeight="1" s="40"/>
    <row r="723" ht="15.75" customHeight="1" s="40"/>
    <row r="724" ht="15.75" customHeight="1" s="40"/>
    <row r="725" ht="15.75" customHeight="1" s="40"/>
    <row r="726" ht="15.75" customHeight="1" s="40"/>
    <row r="727" ht="15.75" customHeight="1" s="40"/>
    <row r="728" ht="15.75" customHeight="1" s="40"/>
    <row r="729" ht="15.75" customHeight="1" s="40"/>
    <row r="730" ht="15.75" customHeight="1" s="40"/>
    <row r="731" ht="15.75" customHeight="1" s="40"/>
    <row r="732" ht="15.75" customHeight="1" s="40"/>
    <row r="733" ht="15.75" customHeight="1" s="40"/>
    <row r="734" ht="15.75" customHeight="1" s="40"/>
    <row r="735" ht="15.75" customHeight="1" s="40"/>
    <row r="736" ht="15.75" customHeight="1" s="40"/>
    <row r="737" ht="15.75" customHeight="1" s="40"/>
    <row r="738" ht="15.75" customHeight="1" s="40"/>
    <row r="739" ht="15.75" customHeight="1" s="40"/>
    <row r="740" ht="15.75" customHeight="1" s="40"/>
    <row r="741" ht="15.75" customHeight="1" s="40"/>
    <row r="742" ht="15.75" customHeight="1" s="40"/>
    <row r="743" ht="15.75" customHeight="1" s="40"/>
    <row r="744" ht="15.75" customHeight="1" s="40"/>
    <row r="745" ht="15.75" customHeight="1" s="40"/>
    <row r="746" ht="15.75" customHeight="1" s="40"/>
    <row r="747" ht="15.75" customHeight="1" s="40"/>
    <row r="748" ht="15.75" customHeight="1" s="40"/>
    <row r="749" ht="15.75" customHeight="1" s="40"/>
    <row r="750" ht="15.75" customHeight="1" s="40"/>
    <row r="751" ht="15.75" customHeight="1" s="40"/>
    <row r="752" ht="15.75" customHeight="1" s="40"/>
    <row r="753" ht="15.75" customHeight="1" s="40"/>
    <row r="754" ht="15.75" customHeight="1" s="40"/>
    <row r="755" ht="15.75" customHeight="1" s="40"/>
    <row r="756" ht="15.75" customHeight="1" s="40"/>
    <row r="757" ht="15.75" customHeight="1" s="40"/>
    <row r="758" ht="15.75" customHeight="1" s="40"/>
    <row r="759" ht="15.75" customHeight="1" s="40"/>
    <row r="760" ht="15.75" customHeight="1" s="40"/>
    <row r="761" ht="15.75" customHeight="1" s="40"/>
    <row r="762" ht="15.75" customHeight="1" s="40"/>
    <row r="763" ht="15.75" customHeight="1" s="40"/>
    <row r="764" ht="15.75" customHeight="1" s="40"/>
    <row r="765" ht="15.75" customHeight="1" s="40"/>
    <row r="766" ht="15.75" customHeight="1" s="40"/>
    <row r="767" ht="15.75" customHeight="1" s="40"/>
    <row r="768" ht="15.75" customHeight="1" s="40"/>
    <row r="769" ht="15.75" customHeight="1" s="40"/>
    <row r="770" ht="15.75" customHeight="1" s="40"/>
    <row r="771" ht="15.75" customHeight="1" s="40"/>
    <row r="772" ht="15.75" customHeight="1" s="40"/>
    <row r="773" ht="15.75" customHeight="1" s="40"/>
    <row r="774" ht="15.75" customHeight="1" s="40"/>
    <row r="775" ht="15.75" customHeight="1" s="40"/>
    <row r="776" ht="15.75" customHeight="1" s="40"/>
    <row r="777" ht="15.75" customHeight="1" s="40"/>
    <row r="778" ht="15.75" customHeight="1" s="40"/>
    <row r="779" ht="15.75" customHeight="1" s="40"/>
    <row r="780" ht="15.75" customHeight="1" s="40"/>
    <row r="781" ht="15.75" customHeight="1" s="40"/>
    <row r="782" ht="15.75" customHeight="1" s="40"/>
    <row r="783" ht="15.75" customHeight="1" s="40"/>
    <row r="784" ht="15.75" customHeight="1" s="40"/>
    <row r="785" ht="15.75" customHeight="1" s="40"/>
    <row r="786" ht="15.75" customHeight="1" s="40"/>
    <row r="787" ht="15.75" customHeight="1" s="40"/>
    <row r="788" ht="15.75" customHeight="1" s="40"/>
    <row r="789" ht="15.75" customHeight="1" s="40"/>
    <row r="790" ht="15.75" customHeight="1" s="40"/>
    <row r="791" ht="15.75" customHeight="1" s="40"/>
    <row r="792" ht="15.75" customHeight="1" s="40"/>
    <row r="793" ht="15.75" customHeight="1" s="40"/>
    <row r="794" ht="15.75" customHeight="1" s="40"/>
    <row r="795" ht="15.75" customHeight="1" s="40"/>
    <row r="796" ht="15.75" customHeight="1" s="40"/>
    <row r="797" ht="15.75" customHeight="1" s="40"/>
    <row r="798" ht="15.75" customHeight="1" s="40"/>
    <row r="799" ht="15.75" customHeight="1" s="40"/>
    <row r="800" ht="15.75" customHeight="1" s="40"/>
    <row r="801" ht="15.75" customHeight="1" s="40"/>
    <row r="802" ht="15.75" customHeight="1" s="40"/>
    <row r="803" ht="15.75" customHeight="1" s="40"/>
    <row r="804" ht="15.75" customHeight="1" s="40"/>
    <row r="805" ht="15.75" customHeight="1" s="40"/>
    <row r="806" ht="15.75" customHeight="1" s="40"/>
    <row r="807" ht="15.75" customHeight="1" s="40"/>
    <row r="808" ht="15.75" customHeight="1" s="40"/>
    <row r="809" ht="15.75" customHeight="1" s="40"/>
    <row r="810" ht="15.75" customHeight="1" s="40"/>
    <row r="811" ht="15.75" customHeight="1" s="40"/>
    <row r="812" ht="15.75" customHeight="1" s="40"/>
    <row r="813" ht="15.75" customHeight="1" s="40"/>
    <row r="814" ht="15.75" customHeight="1" s="40"/>
    <row r="815" ht="15.75" customHeight="1" s="40"/>
    <row r="816" ht="15.75" customHeight="1" s="40"/>
    <row r="817" ht="15.75" customHeight="1" s="40"/>
    <row r="818" ht="15.75" customHeight="1" s="40"/>
    <row r="819" ht="15.75" customHeight="1" s="40"/>
    <row r="820" ht="15.75" customHeight="1" s="40"/>
    <row r="821" ht="15.75" customHeight="1" s="40"/>
    <row r="822" ht="15.75" customHeight="1" s="40"/>
    <row r="823" ht="15.75" customHeight="1" s="40"/>
    <row r="824" ht="15.75" customHeight="1" s="40"/>
    <row r="825" ht="15.75" customHeight="1" s="40"/>
    <row r="826" ht="15.75" customHeight="1" s="40"/>
    <row r="827" ht="15.75" customHeight="1" s="40"/>
    <row r="828" ht="15.75" customHeight="1" s="40"/>
    <row r="829" ht="15.75" customHeight="1" s="40"/>
    <row r="830" ht="15.75" customHeight="1" s="40"/>
    <row r="831" ht="15.75" customHeight="1" s="40"/>
    <row r="832" ht="15.75" customHeight="1" s="40"/>
    <row r="833" ht="15.75" customHeight="1" s="40"/>
    <row r="834" ht="15.75" customHeight="1" s="40"/>
    <row r="835" ht="15.75" customHeight="1" s="40"/>
    <row r="836" ht="15.75" customHeight="1" s="40"/>
    <row r="837" ht="15.75" customHeight="1" s="40"/>
    <row r="838" ht="15.75" customHeight="1" s="40"/>
    <row r="839" ht="15.75" customHeight="1" s="40"/>
    <row r="840" ht="15.75" customHeight="1" s="40"/>
    <row r="841" ht="15.75" customHeight="1" s="40"/>
    <row r="842" ht="15.75" customHeight="1" s="40"/>
    <row r="843" ht="15.75" customHeight="1" s="40"/>
    <row r="844" ht="15.75" customHeight="1" s="40"/>
    <row r="845" ht="15.75" customHeight="1" s="40"/>
    <row r="846" ht="15.75" customHeight="1" s="40"/>
    <row r="847" ht="15.75" customHeight="1" s="40"/>
    <row r="848" ht="15.75" customHeight="1" s="40"/>
    <row r="849" ht="15.75" customHeight="1" s="40"/>
    <row r="850" ht="15.75" customHeight="1" s="40"/>
    <row r="851" ht="15.75" customHeight="1" s="40"/>
    <row r="852" ht="15.75" customHeight="1" s="40"/>
    <row r="853" ht="15.75" customHeight="1" s="40"/>
    <row r="854" ht="15.75" customHeight="1" s="40"/>
    <row r="855" ht="15.75" customHeight="1" s="40"/>
    <row r="856" ht="15.75" customHeight="1" s="40"/>
    <row r="857" ht="15.75" customHeight="1" s="40"/>
    <row r="858" ht="15.75" customHeight="1" s="40"/>
    <row r="859" ht="15.75" customHeight="1" s="40"/>
    <row r="860" ht="15.75" customHeight="1" s="40"/>
    <row r="861" ht="15.75" customHeight="1" s="40"/>
    <row r="862" ht="15.75" customHeight="1" s="40"/>
    <row r="863" ht="15.75" customHeight="1" s="40"/>
    <row r="864" ht="15.75" customHeight="1" s="40"/>
    <row r="865" ht="15.75" customHeight="1" s="40"/>
    <row r="866" ht="15.75" customHeight="1" s="40"/>
    <row r="867" ht="15.75" customHeight="1" s="40"/>
    <row r="868" ht="15.75" customHeight="1" s="40"/>
    <row r="869" ht="15.75" customHeight="1" s="40"/>
    <row r="870" ht="15.75" customHeight="1" s="40"/>
    <row r="871" ht="15.75" customHeight="1" s="40"/>
    <row r="872" ht="15.75" customHeight="1" s="40"/>
    <row r="873" ht="15.75" customHeight="1" s="40"/>
    <row r="874" ht="15.75" customHeight="1" s="40"/>
    <row r="875" ht="15.75" customHeight="1" s="40"/>
    <row r="876" ht="15.75" customHeight="1" s="40"/>
    <row r="877" ht="15.75" customHeight="1" s="40"/>
    <row r="878" ht="15.75" customHeight="1" s="40"/>
    <row r="879" ht="15.75" customHeight="1" s="40"/>
    <row r="880" ht="15.75" customHeight="1" s="40"/>
    <row r="881" ht="15.75" customHeight="1" s="40"/>
    <row r="882" ht="15.75" customHeight="1" s="40"/>
    <row r="883" ht="15.75" customHeight="1" s="40"/>
    <row r="884" ht="15.75" customHeight="1" s="40"/>
    <row r="885" ht="15.75" customHeight="1" s="40"/>
    <row r="886" ht="15.75" customHeight="1" s="40"/>
    <row r="887" ht="15.75" customHeight="1" s="40"/>
    <row r="888" ht="15.75" customHeight="1" s="40"/>
    <row r="889" ht="15.75" customHeight="1" s="40"/>
    <row r="890" ht="15.75" customHeight="1" s="40"/>
    <row r="891" ht="15.75" customHeight="1" s="40"/>
    <row r="892" ht="15.75" customHeight="1" s="40"/>
    <row r="893" ht="15.75" customHeight="1" s="40"/>
    <row r="894" ht="15.75" customHeight="1" s="40"/>
    <row r="895" ht="15.75" customHeight="1" s="40"/>
    <row r="896" ht="15.75" customHeight="1" s="40"/>
    <row r="897" ht="15.75" customHeight="1" s="40"/>
    <row r="898" ht="15.75" customHeight="1" s="40"/>
    <row r="899" ht="15.75" customHeight="1" s="40"/>
    <row r="900" ht="15.75" customHeight="1" s="40"/>
    <row r="901" ht="15.75" customHeight="1" s="40"/>
    <row r="902" ht="15.75" customHeight="1" s="40"/>
    <row r="903" ht="15.75" customHeight="1" s="40"/>
    <row r="904" ht="15.75" customHeight="1" s="40"/>
    <row r="905" ht="15.75" customHeight="1" s="40"/>
    <row r="906" ht="15.75" customHeight="1" s="40"/>
    <row r="907" ht="15.75" customHeight="1" s="40"/>
    <row r="908" ht="15.75" customHeight="1" s="40"/>
    <row r="909" ht="15.75" customHeight="1" s="40"/>
    <row r="910" ht="15.75" customHeight="1" s="40"/>
    <row r="911" ht="15.75" customHeight="1" s="40"/>
    <row r="912" ht="15.75" customHeight="1" s="40"/>
    <row r="913" ht="15.75" customHeight="1" s="40"/>
    <row r="914" ht="15.75" customHeight="1" s="40"/>
    <row r="915" ht="15.75" customHeight="1" s="40"/>
    <row r="916" ht="15.75" customHeight="1" s="40"/>
    <row r="917" ht="15.75" customHeight="1" s="40"/>
    <row r="918" ht="15.75" customHeight="1" s="40"/>
    <row r="919" ht="15.75" customHeight="1" s="40"/>
    <row r="920" ht="15.75" customHeight="1" s="40"/>
    <row r="921" ht="15.75" customHeight="1" s="40"/>
    <row r="922" ht="15.75" customHeight="1" s="40"/>
    <row r="923" ht="15.75" customHeight="1" s="40"/>
    <row r="924" ht="15.75" customHeight="1" s="40"/>
    <row r="925" ht="15.75" customHeight="1" s="40"/>
    <row r="926" ht="15.75" customHeight="1" s="40"/>
    <row r="927" ht="15.75" customHeight="1" s="40"/>
    <row r="928" ht="15.75" customHeight="1" s="40"/>
    <row r="929" ht="15.75" customHeight="1" s="40"/>
    <row r="930" ht="15.75" customHeight="1" s="40"/>
    <row r="931" ht="15.75" customHeight="1" s="40"/>
    <row r="932" ht="15.75" customHeight="1" s="40"/>
    <row r="933" ht="15.75" customHeight="1" s="40"/>
    <row r="934" ht="15.75" customHeight="1" s="40"/>
    <row r="935" ht="15.75" customHeight="1" s="40"/>
    <row r="936" ht="15.75" customHeight="1" s="40"/>
    <row r="937" ht="15.75" customHeight="1" s="40"/>
    <row r="938" ht="15.75" customHeight="1" s="40"/>
    <row r="939" ht="15.75" customHeight="1" s="40"/>
    <row r="940" ht="15.75" customHeight="1" s="40"/>
    <row r="941" ht="15.75" customHeight="1" s="40"/>
    <row r="942" ht="15.75" customHeight="1" s="40"/>
    <row r="943" ht="15.75" customHeight="1" s="40"/>
    <row r="944" ht="15.75" customHeight="1" s="40"/>
    <row r="945" ht="15.75" customHeight="1" s="40"/>
    <row r="946" ht="15.75" customHeight="1" s="40"/>
    <row r="947" ht="15.75" customHeight="1" s="40"/>
    <row r="948" ht="15.75" customHeight="1" s="40"/>
    <row r="949" ht="15.75" customHeight="1" s="40"/>
    <row r="950" ht="15.75" customHeight="1" s="40"/>
    <row r="951" ht="15.75" customHeight="1" s="40"/>
    <row r="952" ht="15.75" customHeight="1" s="40"/>
    <row r="953" ht="15.75" customHeight="1" s="40"/>
    <row r="954" ht="15.75" customHeight="1" s="40"/>
    <row r="955" ht="15.75" customHeight="1" s="40"/>
    <row r="956" ht="15.75" customHeight="1" s="40"/>
    <row r="957" ht="15.75" customHeight="1" s="40"/>
    <row r="958" ht="15.75" customHeight="1" s="40"/>
    <row r="959" ht="15.75" customHeight="1" s="40"/>
    <row r="960" ht="15.75" customHeight="1" s="40"/>
    <row r="961" ht="15.75" customHeight="1" s="40"/>
    <row r="962" ht="15.75" customHeight="1" s="40"/>
    <row r="963" ht="15.75" customHeight="1" s="40"/>
    <row r="964" ht="15.75" customHeight="1" s="40"/>
    <row r="965" ht="15.75" customHeight="1" s="40"/>
    <row r="966" ht="15.75" customHeight="1" s="40"/>
    <row r="967" ht="15.75" customHeight="1" s="40"/>
    <row r="968" ht="15.75" customHeight="1" s="40"/>
    <row r="969" ht="15.75" customHeight="1" s="40"/>
    <row r="970" ht="15.75" customHeight="1" s="40"/>
    <row r="971" ht="15.75" customHeight="1" s="40"/>
    <row r="972" ht="15.75" customHeight="1" s="40"/>
    <row r="973" ht="15.75" customHeight="1" s="40"/>
    <row r="974" ht="15.75" customHeight="1" s="40"/>
    <row r="975" ht="15.75" customHeight="1" s="40"/>
    <row r="976" ht="15.75" customHeight="1" s="40"/>
    <row r="977" ht="15.75" customHeight="1" s="40"/>
    <row r="978" ht="15.75" customHeight="1" s="40"/>
    <row r="979" ht="15.75" customHeight="1" s="40"/>
    <row r="980" ht="15.75" customHeight="1" s="40"/>
    <row r="981" ht="15.75" customHeight="1" s="40"/>
    <row r="982" ht="15.75" customHeight="1" s="40"/>
    <row r="983" ht="15.75" customHeight="1" s="40"/>
    <row r="984" ht="15.75" customHeight="1" s="40"/>
    <row r="985" ht="15.75" customHeight="1" s="40"/>
    <row r="986" ht="15.75" customHeight="1" s="40"/>
    <row r="987" ht="15.75" customHeight="1" s="40"/>
    <row r="988" ht="15.75" customHeight="1" s="40"/>
    <row r="989" ht="15.75" customHeight="1" s="40"/>
    <row r="990" ht="15.75" customHeight="1" s="40"/>
    <row r="991" ht="15.75" customHeight="1" s="40"/>
    <row r="992" ht="15.75" customHeight="1" s="40"/>
    <row r="993" ht="15.75" customHeight="1" s="40"/>
    <row r="994" ht="15.75" customHeight="1" s="40"/>
    <row r="995" ht="15.75" customHeight="1" s="40"/>
    <row r="996" ht="15.75" customHeight="1" s="40"/>
    <row r="997" ht="15.75" customHeight="1" s="40"/>
    <row r="998" ht="15.75" customHeight="1" s="40"/>
    <row r="999" ht="15.75" customHeight="1" s="40"/>
    <row r="1000" ht="15.75" customHeight="1" s="40"/>
  </sheetData>
  <mergeCells count="1">
    <mergeCell ref="A1:E1"/>
  </mergeCells>
  <pageMargins left="0.75" right="0.75" top="1" bottom="1" header="0" footer="0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2026-10-10T15:25:38Z</dcterms:created>
  <dcterms:modified xmlns:dcterms="http://purl.org/dc/terms/" xmlns:xsi="http://www.w3.org/2001/XMLSchema-instance" xsi:type="dcterms:W3CDTF">2026-10-10T15:25:39Z</dcterms:modified>
</cp:coreProperties>
</file>